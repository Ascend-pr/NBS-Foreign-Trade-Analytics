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A4D0E460-B83F-4996-94DF-273CFA76C327}" xr6:coauthVersionLast="47" xr6:coauthVersionMax="47" xr10:uidLastSave="{00000000-0000-0000-0000-000000000000}"/>
  <bookViews>
    <workbookView xWindow="-120" yWindow="-120" windowWidth="29040" windowHeight="15720" activeTab="2" xr2:uid="{F6DDEEA2-B753-48B2-AD71-0B00FC2BFD01}"/>
  </bookViews>
  <sheets>
    <sheet name="Raw Data" sheetId="1" r:id="rId1"/>
    <sheet name="Model" sheetId="2" r:id="rId2"/>
    <sheet name="Dashboard" sheetId="7" r:id="rId3"/>
  </sheets>
  <definedNames>
    <definedName name="AgriExports">tbl_AgriExports[]</definedName>
  </definedNames>
  <calcPr calcId="191029"/>
  <pivotCaches>
    <pivotCache cacheId="0" r:id="rId4"/>
    <pivotCache cacheId="1" r:id="rId5"/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11" i="1"/>
  <c r="F12" i="1"/>
  <c r="F13" i="1"/>
  <c r="F14" i="1"/>
  <c r="F15" i="1"/>
  <c r="F16" i="1"/>
  <c r="D16" i="1"/>
  <c r="D15" i="1"/>
  <c r="D14" i="1"/>
  <c r="D13" i="1"/>
  <c r="D12" i="1"/>
  <c r="D11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<sst xmlns="http://schemas.openxmlformats.org/spreadsheetml/2006/main" count="117" uniqueCount="51">
  <si>
    <t>Agricultural Exports by Quarter (₦'million)</t>
  </si>
  <si>
    <t>Quarter</t>
  </si>
  <si>
    <t>Total Exports (₦'m)</t>
  </si>
  <si>
    <t>Agricultural Exports (₦'m)</t>
  </si>
  <si>
    <t>Agri % of Total Exports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</si>
  <si>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</si>
  <si>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</si>
  <si>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</si>
  <si>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</si>
  <si>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</si>
  <si>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</si>
  <si>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</si>
  <si>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</si>
  <si>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</si>
  <si>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</si>
  <si>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</si>
  <si>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</si>
  <si>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</si>
  <si>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Top Agricultural Export Commodities — Q1 2026 (₦'million)</t>
  </si>
  <si>
    <t>Product</t>
  </si>
  <si>
    <t>Value (₦'million)</t>
  </si>
  <si>
    <t>Superior quality Cocoa beans</t>
  </si>
  <si>
    <t>Sesamum seeds</t>
  </si>
  <si>
    <t>Soya beans (excl. seed)</t>
  </si>
  <si>
    <t>Cashew nuts in shell</t>
  </si>
  <si>
    <t>Flours &amp; meals of soya beans</t>
  </si>
  <si>
    <t>Natural cocoa butter</t>
  </si>
  <si>
    <t>Cashew nuts shelled</t>
  </si>
  <si>
    <t>Export Value by Sector — Q1 2026 (₦'million)</t>
  </si>
  <si>
    <t>Sector</t>
  </si>
  <si>
    <t>Crude Oil</t>
  </si>
  <si>
    <t>Other Oil Products</t>
  </si>
  <si>
    <t>Agriculture</t>
  </si>
  <si>
    <t>Raw Materials</t>
  </si>
  <si>
    <t>Manufactured Goods</t>
  </si>
  <si>
    <t>Solid Minerals</t>
  </si>
  <si>
    <t>Agricultural Exports by Destination Region — Q1 2026 (₦'million)</t>
  </si>
  <si>
    <t>Region</t>
  </si>
  <si>
    <t>Asia</t>
  </si>
  <si>
    <t>Europe</t>
  </si>
  <si>
    <t>America</t>
  </si>
  <si>
    <t>Africa</t>
  </si>
  <si>
    <t>Oceania</t>
  </si>
  <si>
    <t>Row Labels</t>
  </si>
  <si>
    <t>Grand Total</t>
  </si>
  <si>
    <t>Sum of Agricultural Exports (₦'m)</t>
  </si>
  <si>
    <t>Quarter Start Date</t>
  </si>
  <si>
    <t>Sum of Total Exports (₦'m)</t>
  </si>
  <si>
    <t>Sum of Value (₦'million)</t>
  </si>
  <si>
    <t>Others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</si>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</sst>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_-* #,##0_-;\-* #,##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rgb="FF1A1A1A"/>
      <name val="Arial"/>
      <charset val="1"/>
    </font>
    <font>
      <b/>
      <sz val="10"/>
      <color rgb="FFFFFFFF"/>
      <name val="Arial"/>
      <charset val="1"/>
    </font>
    <font>
      <sz val="10"/>
      <color rgb="FF1A1A1A"/>
      <name val="Arial"/>
      <charset val="1"/>
    </font>
    <font>
      <i/>
      <sz val="9"/>
      <color rgb="FF6B6B6B"/>
      <name val="Arial"/>
      <charset val="1"/>
    </font>
    <font>
      <sz val="8"/>
      <name val="Calibri"/>
      <family val="2"/>
      <scheme val="minor"/>
    </font>
    <font>
      <sz val="10"/>
      <color rgb="FF1A1A1A"/>
      <name val="Arial"/>
      <family val="2"/>
      <charset val="1"/>
    </font>
    <font>
      <sz val="16"/>
      <color rgb="FF9E9E9E"/>
      <name val="Calibri"/>
      <family val="2"/>
      <scheme val="minor"/>
    </font>
    <font>
      <b/>
      <sz val="16"/>
      <color rgb="FF9E9E9E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2E7D5B"/>
        <bgColor rgb="FF008080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rgb="FFD9D9D9"/>
      </top>
      <bottom/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/>
      <right/>
      <top style="thin">
        <color theme="4" tint="0.39997558519241921"/>
      </top>
      <bottom style="thin">
        <color rgb="FFD9D9D9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4" fillId="0" borderId="1" xfId="0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4" fillId="0" borderId="4" xfId="0" applyFont="1" applyBorder="1"/>
    <xf numFmtId="164" fontId="4" fillId="0" borderId="5" xfId="0" applyNumberFormat="1" applyFont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4" fillId="0" borderId="9" xfId="0" applyFont="1" applyBorder="1"/>
    <xf numFmtId="3" fontId="4" fillId="0" borderId="10" xfId="0" applyNumberFormat="1" applyFont="1" applyBorder="1"/>
    <xf numFmtId="164" fontId="4" fillId="0" borderId="11" xfId="0" applyNumberFormat="1" applyFont="1" applyBorder="1"/>
    <xf numFmtId="3" fontId="4" fillId="0" borderId="5" xfId="0" applyNumberFormat="1" applyFont="1" applyBorder="1"/>
    <xf numFmtId="3" fontId="4" fillId="0" borderId="11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5" fillId="0" borderId="0" xfId="0" applyFont="1"/>
    <xf numFmtId="43" fontId="0" fillId="0" borderId="0" xfId="0" applyNumberFormat="1"/>
    <xf numFmtId="14" fontId="7" fillId="3" borderId="2" xfId="0" applyNumberFormat="1" applyFont="1" applyFill="1" applyBorder="1"/>
    <xf numFmtId="14" fontId="4" fillId="0" borderId="2" xfId="0" applyNumberFormat="1" applyFont="1" applyBorder="1"/>
    <xf numFmtId="14" fontId="4" fillId="3" borderId="2" xfId="0" applyNumberFormat="1" applyFont="1" applyFill="1" applyBorder="1"/>
    <xf numFmtId="14" fontId="4" fillId="3" borderId="12" xfId="0" applyNumberFormat="1" applyFont="1" applyFill="1" applyBorder="1"/>
    <xf numFmtId="14" fontId="3" fillId="2" borderId="7" xfId="0" applyNumberFormat="1" applyFont="1" applyFill="1" applyBorder="1"/>
    <xf numFmtId="0" fontId="7" fillId="3" borderId="0" xfId="0" applyFont="1" applyFill="1"/>
    <xf numFmtId="0" fontId="4" fillId="0" borderId="0" xfId="0" applyFont="1"/>
    <xf numFmtId="0" fontId="4" fillId="3" borderId="0" xfId="0" applyFont="1" applyFill="1"/>
    <xf numFmtId="0" fontId="8" fillId="0" borderId="0" xfId="0" applyFont="1" applyAlignment="1">
      <alignment horizontal="left" vertical="center"/>
    </xf>
    <xf numFmtId="0" fontId="8" fillId="0" borderId="0" xfId="0" applyFont="1"/>
    <xf numFmtId="0" fontId="9" fillId="0" borderId="0" xfId="0" applyFont="1" applyAlignment="1">
      <alignment horizontal="left" vertical="center"/>
    </xf>
    <xf numFmtId="165" fontId="0" fillId="0" borderId="0" xfId="1" applyNumberFormat="1" applyFont="1"/>
    <xf numFmtId="0" fontId="5" fillId="0" borderId="3" xfId="0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29">
    <dxf>
      <numFmt numFmtId="35" formatCode="_-* #,##0.00_-;\-* #,##0.0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2E7D5B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2E7D5B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2E7D5B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9" formatCode="dd/mm/yyyy"/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164" formatCode="0.0%"/>
      <border diagonalUp="0" diagonalDown="0">
        <left style="thin">
          <color rgb="FFD9D9D9"/>
        </left>
        <right/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numFmt numFmtId="3" formatCode="#,##0"/>
      <border diagonalUp="0" diagonalDown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A1A1A"/>
        <name val="Arial"/>
        <charset val="1"/>
        <scheme val="none"/>
      </font>
      <border diagonalUp="0" diagonalDown="0">
        <left/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  <dxf>
      <border outline="0">
        <top style="thin">
          <color rgb="FFD9D9D9"/>
        </top>
      </border>
    </dxf>
    <dxf>
      <border outline="0"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</border>
    </dxf>
    <dxf>
      <border outline="0">
        <bottom style="thin">
          <color rgb="FFD9D9D9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charset val="1"/>
        <scheme val="none"/>
      </font>
      <fill>
        <patternFill patternType="solid">
          <fgColor rgb="FF008080"/>
          <bgColor rgb="FF2E7D5B"/>
        </patternFill>
      </fill>
      <border diagonalUp="0" diagonalDown="0" outline="0">
        <left style="thin">
          <color rgb="FFD9D9D9"/>
        </left>
        <right style="thin">
          <color rgb="FFD9D9D9"/>
        </right>
        <top/>
        <bottom/>
      </border>
    </dxf>
  </dxfs>
  <tableStyles count="0" defaultTableStyle="TableStyleMedium2" defaultPivotStyle="PivotStyleLight16"/>
  <colors>
    <mruColors>
      <color rgb="FF008751"/>
      <color rgb="FFC9A227"/>
      <color rgb="FF9E9E9E"/>
      <color rgb="FF3A3A3A"/>
      <color rgb="FFC4C4C4"/>
      <color rgb="FF6B6B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2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[NBS foreign trade dashboard.xlsx]Model!PivotTable9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Agricultural Export Value by Quarter, 2023–Q1 2026</a:t>
            </a:r>
            <a:endParaRPr lang="en-US" b="1"/>
          </a:p>
        </c:rich>
      </c:tx>
      <c:layout>
        <c:manualLayout>
          <c:xMode val="edge"/>
          <c:yMode val="edge"/>
          <c:x val="0.13180555555555556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rgbClr val="00875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rgbClr val="00875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rgbClr val="00875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Model!$F$2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rgbClr val="008751"/>
              </a:solidFill>
              <a:round/>
            </a:ln>
            <a:effectLst/>
          </c:spPr>
          <c:marker>
            <c:symbol val="none"/>
          </c:marker>
          <c:cat>
            <c:strRef>
              <c:f>Model!$E$3:$E$16</c:f>
              <c:strCache>
                <c:ptCount val="13"/>
                <c:pt idx="0">
                  <c:v>Q1 2023</c:v>
                </c:pt>
                <c:pt idx="1">
                  <c:v>Q2 2023</c:v>
                </c:pt>
                <c:pt idx="2">
                  <c:v>Q3 2023</c:v>
                </c:pt>
                <c:pt idx="3">
                  <c:v>Q4 2023</c:v>
                </c:pt>
                <c:pt idx="4">
                  <c:v>Q1 2024</c:v>
                </c:pt>
                <c:pt idx="5">
                  <c:v>Q2 2024</c:v>
                </c:pt>
                <c:pt idx="6">
                  <c:v>Q3 2024</c:v>
                </c:pt>
                <c:pt idx="7">
                  <c:v>Q4 2024</c:v>
                </c:pt>
                <c:pt idx="8">
                  <c:v>Q1 2025</c:v>
                </c:pt>
                <c:pt idx="9">
                  <c:v>Q2 2025</c:v>
                </c:pt>
                <c:pt idx="10">
                  <c:v>Q3 2025</c:v>
                </c:pt>
                <c:pt idx="11">
                  <c:v>Q4 2025</c:v>
                </c:pt>
                <c:pt idx="12">
                  <c:v>Q1 2026</c:v>
                </c:pt>
              </c:strCache>
            </c:strRef>
          </c:cat>
          <c:val>
            <c:numRef>
              <c:f>Model!$F$3:$F$16</c:f>
              <c:numCache>
                <c:formatCode>#,##0</c:formatCode>
                <c:ptCount val="13"/>
                <c:pt idx="0">
                  <c:v>279639.7</c:v>
                </c:pt>
                <c:pt idx="1">
                  <c:v>280870.2</c:v>
                </c:pt>
                <c:pt idx="2">
                  <c:v>219989.7</c:v>
                </c:pt>
                <c:pt idx="3">
                  <c:v>463971.8</c:v>
                </c:pt>
                <c:pt idx="4">
                  <c:v>1035023.7</c:v>
                </c:pt>
                <c:pt idx="5">
                  <c:v>973686.5</c:v>
                </c:pt>
                <c:pt idx="6">
                  <c:v>890717.1</c:v>
                </c:pt>
                <c:pt idx="7">
                  <c:v>1540457.4</c:v>
                </c:pt>
                <c:pt idx="8">
                  <c:v>1704145.1</c:v>
                </c:pt>
                <c:pt idx="9">
                  <c:v>1256355.3</c:v>
                </c:pt>
                <c:pt idx="10">
                  <c:v>786615.9</c:v>
                </c:pt>
                <c:pt idx="11">
                  <c:v>1323064.8999999999</c:v>
                </c:pt>
                <c:pt idx="12">
                  <c:v>1172373.3999999999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BE1-469B-9FD3-892C282CB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7228816"/>
        <c:axId val="1427224016"/>
      </c:lineChart>
      <c:catAx>
        <c:axId val="14272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24016"/>
        <c:crosses val="autoZero"/>
        <c:auto val="1"/>
        <c:lblAlgn val="ctr"/>
        <c:lblOffset val="100"/>
        <c:noMultiLvlLbl val="0"/>
      </c:catAx>
      <c:valAx>
        <c:axId val="142722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28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[NBS foreign trade dashboard.xlsx]Model!Top Agricultural Export Commodities, Q1 2026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Top Agricultural Export Commodities, Q1 2026</a:t>
            </a:r>
            <a:endParaRPr lang="en-US" b="1" baseline="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Model!$I$2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751"/>
            </a:solidFill>
            <a:ln>
              <a:noFill/>
            </a:ln>
            <a:effectLst/>
          </c:spPr>
          <c:invertIfNegative val="0"/>
          <c:cat>
            <c:strRef>
              <c:f>Model!$H$3:$H$9</c:f>
              <c:strCache>
                <c:ptCount val="7"/>
                <c:pt idx="0">
                  <c:v>Superior quality Cocoa beans</c:v>
                </c:pt>
                <c:pt idx="1">
                  <c:v>Sesamum seeds</c:v>
                </c:pt>
                <c:pt idx="2">
                  <c:v>Soya beans (excl. seed)</c:v>
                </c:pt>
                <c:pt idx="3">
                  <c:v>Cashew nuts in shell</c:v>
                </c:pt>
                <c:pt idx="4">
                  <c:v>Flours &amp; meals of soya beans</c:v>
                </c:pt>
                <c:pt idx="5">
                  <c:v>Natural cocoa butter</c:v>
                </c:pt>
                <c:pt idx="6">
                  <c:v>Cashew nuts shelled</c:v>
                </c:pt>
              </c:strCache>
            </c:strRef>
          </c:cat>
          <c:val>
            <c:numRef>
              <c:f>Model!$I$3:$I$9</c:f>
              <c:numCache>
                <c:formatCode>#,##0</c:formatCode>
                <c:ptCount val="7"/>
                <c:pt idx="0">
                  <c:v>596896</c:v>
                </c:pt>
                <c:pt idx="1">
                  <c:v>153776.29999999999</c:v>
                </c:pt>
                <c:pt idx="2">
                  <c:v>129273.4</c:v>
                </c:pt>
                <c:pt idx="3">
                  <c:v>119763.4</c:v>
                </c:pt>
                <c:pt idx="4">
                  <c:v>53198</c:v>
                </c:pt>
                <c:pt idx="5">
                  <c:v>41688.699999999997</c:v>
                </c:pt>
                <c:pt idx="6">
                  <c:v>16690.099999999999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1-4932-9E9A-1B8E0CCA15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7263856"/>
        <c:axId val="1427271536"/>
      </c:barChart>
      <c:catAx>
        <c:axId val="142726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71536"/>
        <c:crosses val="autoZero"/>
        <c:auto val="1"/>
        <c:lblAlgn val="ctr"/>
        <c:lblOffset val="100"/>
        <c:noMultiLvlLbl val="0"/>
      </c:catAx>
      <c:valAx>
        <c:axId val="1427271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726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[NBS foreign trade dashboard.xlsx]Model!Agricultural Exports by Destination Region, Q1 2026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Agricultural Exports by Destination Region, Q1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0875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357857611548556"/>
          <c:y val="0.20042864657991999"/>
          <c:w val="0.7503623277559055"/>
          <c:h val="0.712912903229435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Model!$F$18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8751"/>
            </a:solidFill>
            <a:ln>
              <a:noFill/>
            </a:ln>
            <a:effectLst/>
          </c:spPr>
          <c:invertIfNegative val="0"/>
          <c:cat>
            <c:strRef>
              <c:f>Model!$E$19:$E$23</c:f>
              <c:strCache>
                <c:ptCount val="5"/>
                <c:pt idx="0">
                  <c:v>Asia</c:v>
                </c:pt>
                <c:pt idx="1">
                  <c:v>Europe</c:v>
                </c:pt>
                <c:pt idx="2">
                  <c:v>America</c:v>
                </c:pt>
                <c:pt idx="3">
                  <c:v>Africa</c:v>
                </c:pt>
                <c:pt idx="4">
                  <c:v>Oceania</c:v>
                </c:pt>
              </c:strCache>
            </c:strRef>
          </c:cat>
          <c:val>
            <c:numRef>
              <c:f>Model!$F$19:$F$23</c:f>
              <c:numCache>
                <c:formatCode>#,##0</c:formatCode>
                <c:ptCount val="5"/>
                <c:pt idx="0">
                  <c:v>529449.69999999995</c:v>
                </c:pt>
                <c:pt idx="1">
                  <c:v>500342.7</c:v>
                </c:pt>
                <c:pt idx="2">
                  <c:v>121199.4</c:v>
                </c:pt>
                <c:pt idx="3">
                  <c:v>21121.200000000001</c:v>
                </c:pt>
                <c:pt idx="4">
                  <c:v>260.5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E0A-4B0D-A818-87F95BE282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4466976"/>
        <c:axId val="1094462176"/>
      </c:barChart>
      <c:catAx>
        <c:axId val="109446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62176"/>
        <c:crosses val="autoZero"/>
        <c:auto val="1"/>
        <c:lblAlgn val="ctr"/>
        <c:lblOffset val="100"/>
        <c:noMultiLvlLbl val="0"/>
      </c:catAx>
      <c:valAx>
        <c:axId val="109446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4466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[NBS foreign trade dashboard.xlsx]Model!Export Value Share by Sector, Q1 2026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Export Value Share by Sector, Q1 2026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C9A227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rgbClr val="3A3A3A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6B6B6B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rgbClr val="9E9E9E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C4C4C4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C9A227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rgbClr val="3A3A3A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rgbClr val="6B6B6B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rgbClr val="9E9E9E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rgbClr val="C4C4C4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C9A227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C9A227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rgbClr val="3A3A3A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rgbClr val="6B6B6B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rgbClr val="9E9E9E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rgbClr val="C4C4C4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Model!$F$25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rgbClr val="C9A22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ADD-40CC-AD3F-3DECD5D8CC74}"/>
              </c:ext>
            </c:extLst>
          </c:dPt>
          <c:dPt>
            <c:idx val="1"/>
            <c:bubble3D val="0"/>
            <c:spPr>
              <a:solidFill>
                <a:srgbClr val="3A3A3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ADD-40CC-AD3F-3DECD5D8CC74}"/>
              </c:ext>
            </c:extLst>
          </c:dPt>
          <c:dPt>
            <c:idx val="2"/>
            <c:bubble3D val="0"/>
            <c:spPr>
              <a:solidFill>
                <a:srgbClr val="6B6B6B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ADD-40CC-AD3F-3DECD5D8CC74}"/>
              </c:ext>
            </c:extLst>
          </c:dPt>
          <c:dPt>
            <c:idx val="3"/>
            <c:bubble3D val="0"/>
            <c:spPr>
              <a:solidFill>
                <a:srgbClr val="9E9E9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DADD-40CC-AD3F-3DECD5D8CC74}"/>
              </c:ext>
            </c:extLst>
          </c:dPt>
          <c:dPt>
            <c:idx val="4"/>
            <c:bubble3D val="0"/>
            <c:spPr>
              <a:solidFill>
                <a:srgbClr val="C4C4C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DADD-40CC-AD3F-3DECD5D8CC7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C9A227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Model!$E$26:$E$30</c:f>
              <c:strCache>
                <c:ptCount val="5"/>
                <c:pt idx="0">
                  <c:v>Agriculture</c:v>
                </c:pt>
                <c:pt idx="1">
                  <c:v>Crude Oil</c:v>
                </c:pt>
                <c:pt idx="2">
                  <c:v>Others</c:v>
                </c:pt>
                <c:pt idx="3">
                  <c:v>Other Oil Products</c:v>
                </c:pt>
                <c:pt idx="4">
                  <c:v>Raw Materials</c:v>
                </c:pt>
              </c:strCache>
            </c:strRef>
          </c:cat>
          <c:val>
            <c:numRef>
              <c:f>Model!$F$26:$F$30</c:f>
              <c:numCache>
                <c:formatCode>#,##0</c:formatCode>
                <c:ptCount val="5"/>
                <c:pt idx="0">
                  <c:v>1172373.3999999999</c:v>
                </c:pt>
                <c:pt idx="1">
                  <c:v>11202350.199999999</c:v>
                </c:pt>
                <c:pt idx="2">
                  <c:v>405442.2</c:v>
                </c:pt>
                <c:pt idx="3">
                  <c:v>6780180.2999999998</c:v>
                </c:pt>
                <c:pt idx="4">
                  <c:v>1533746.8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DADD-40CC-AD3F-3DECD5D8CC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25</xdr:col>
      <xdr:colOff>0</xdr:colOff>
      <xdr:row>38</xdr:row>
      <xdr:rowOff>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12BD1A5E-6C34-2DFB-773D-22A1CEF23065}"/>
            </a:ext>
          </a:extLst>
        </xdr:cNvPr>
        <xdr:cNvSpPr/>
      </xdr:nvSpPr>
      <xdr:spPr>
        <a:xfrm>
          <a:off x="0" y="0"/>
          <a:ext cx="14735060" cy="7826566"/>
        </a:xfrm>
        <a:prstGeom prst="rect">
          <a:avLst/>
        </a:prstGeom>
        <a:solidFill>
          <a:schemeClr val="accent6">
            <a:alpha val="50000"/>
          </a:schemeClr>
        </a:solidFill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0</xdr:colOff>
      <xdr:row>0</xdr:row>
      <xdr:rowOff>71437</xdr:rowOff>
    </xdr:from>
    <xdr:to>
      <xdr:col>23</xdr:col>
      <xdr:colOff>608222</xdr:colOff>
      <xdr:row>7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3A93D64-FAC3-9416-739D-847A6B1CB6E4}"/>
            </a:ext>
          </a:extLst>
        </xdr:cNvPr>
        <xdr:cNvSpPr txBox="1"/>
      </xdr:nvSpPr>
      <xdr:spPr>
        <a:xfrm>
          <a:off x="0" y="71437"/>
          <a:ext cx="14126836" cy="1363051"/>
        </a:xfrm>
        <a:prstGeom prst="rect">
          <a:avLst/>
        </a:prstGeom>
        <a:solidFill>
          <a:srgbClr val="008751"/>
        </a:solidFill>
        <a:ln w="9525" cmpd="sng">
          <a:solidFill>
            <a:schemeClr val="lt1">
              <a:shade val="50000"/>
            </a:schemeClr>
          </a:solidFill>
        </a:ln>
        <a:scene3d>
          <a:camera prst="orthographicFront"/>
          <a:lightRig rig="threePt" dir="t"/>
        </a:scene3d>
        <a:sp3d>
          <a:bevelT w="139700" h="139700" prst="divot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3200" b="1">
              <a:solidFill>
                <a:schemeClr val="bg1"/>
              </a:solidFill>
            </a:rPr>
            <a:t>Nigeria's Agricultural Exports — Q1 2026</a:t>
          </a:r>
        </a:p>
        <a:p>
          <a:pPr algn="l"/>
          <a:r>
            <a:rPr lang="en-US" sz="1800" i="1">
              <a:solidFill>
                <a:schemeClr val="bg2">
                  <a:lumMod val="75000"/>
                </a:schemeClr>
              </a:solidFill>
            </a:rPr>
            <a:t>Source: National Bureau of Statistics (NBS), Foreign Trade in Goods Statistics, Q1 2026</a:t>
          </a:r>
        </a:p>
      </xdr:txBody>
    </xdr:sp>
    <xdr:clientData/>
  </xdr:twoCellAnchor>
  <xdr:twoCellAnchor>
    <xdr:from>
      <xdr:col>21</xdr:col>
      <xdr:colOff>389147</xdr:colOff>
      <xdr:row>0</xdr:row>
      <xdr:rowOff>11475</xdr:rowOff>
    </xdr:from>
    <xdr:to>
      <xdr:col>24</xdr:col>
      <xdr:colOff>0</xdr:colOff>
      <xdr:row>7</xdr:row>
      <xdr:rowOff>11475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4C0130BB-FE6B-1DE6-AC90-E0B4DE479779}"/>
            </a:ext>
          </a:extLst>
        </xdr:cNvPr>
        <xdr:cNvGrpSpPr/>
      </xdr:nvGrpSpPr>
      <xdr:grpSpPr>
        <a:xfrm>
          <a:off x="12813980" y="11475"/>
          <a:ext cx="1452353" cy="1407583"/>
          <a:chOff x="8181975" y="66675"/>
          <a:chExt cx="1438275" cy="1333500"/>
        </a:xfrm>
      </xdr:grpSpPr>
      <xdr:sp macro="" textlink="">
        <xdr:nvSpPr>
          <xdr:cNvPr id="10" name="Rectangle: Rounded Corners 9">
            <a:extLst>
              <a:ext uri="{FF2B5EF4-FFF2-40B4-BE49-F238E27FC236}">
                <a16:creationId xmlns:a16="http://schemas.microsoft.com/office/drawing/2014/main" id="{E9675F3F-C961-4181-82A1-BF38D735E124}"/>
              </a:ext>
            </a:extLst>
          </xdr:cNvPr>
          <xdr:cNvSpPr/>
        </xdr:nvSpPr>
        <xdr:spPr>
          <a:xfrm>
            <a:off x="8181975" y="66675"/>
            <a:ext cx="1438275" cy="1333500"/>
          </a:xfrm>
          <a:prstGeom prst="roundRect">
            <a:avLst/>
          </a:prstGeom>
          <a:solidFill>
            <a:srgbClr val="008751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1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Agri Share of Total Exports</a:t>
            </a:r>
            <a:r>
              <a:rPr lang="en-US" sz="1200" b="1">
                <a:effectLst/>
              </a:rPr>
              <a:t> </a:t>
            </a:r>
            <a:endParaRPr lang="en-US" sz="1200" b="1"/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CB657F67-5D63-4C6D-B4F0-1AE99338E0B2}"/>
              </a:ext>
            </a:extLst>
          </xdr:cNvPr>
          <xdr:cNvSpPr txBox="1"/>
        </xdr:nvSpPr>
        <xdr:spPr>
          <a:xfrm>
            <a:off x="8272461" y="507207"/>
            <a:ext cx="1257301" cy="452436"/>
          </a:xfrm>
          <a:prstGeom prst="rect">
            <a:avLst/>
          </a:prstGeom>
          <a:solidFill>
            <a:srgbClr val="00875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400" b="1">
                <a:solidFill>
                  <a:srgbClr val="C9A227"/>
                </a:solidFill>
                <a:effectLst/>
              </a:rPr>
              <a:t>5.5%  </a:t>
            </a:r>
            <a:endParaRPr lang="en-US" sz="2400" b="1">
              <a:solidFill>
                <a:srgbClr val="C9A227"/>
              </a:solidFill>
            </a:endParaRPr>
          </a:p>
        </xdr:txBody>
      </xdr:sp>
    </xdr:grpSp>
    <xdr:clientData/>
  </xdr:twoCellAnchor>
  <xdr:twoCellAnchor>
    <xdr:from>
      <xdr:col>19</xdr:col>
      <xdr:colOff>0</xdr:colOff>
      <xdr:row>0</xdr:row>
      <xdr:rowOff>20827</xdr:rowOff>
    </xdr:from>
    <xdr:to>
      <xdr:col>21</xdr:col>
      <xdr:colOff>255797</xdr:colOff>
      <xdr:row>7</xdr:row>
      <xdr:rowOff>11474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A58D8E5D-2DAB-4BE8-4903-662C61CDFDF9}"/>
            </a:ext>
          </a:extLst>
        </xdr:cNvPr>
        <xdr:cNvGrpSpPr/>
      </xdr:nvGrpSpPr>
      <xdr:grpSpPr>
        <a:xfrm>
          <a:off x="11197167" y="20827"/>
          <a:ext cx="1483463" cy="1398230"/>
          <a:chOff x="6629399" y="514350"/>
          <a:chExt cx="1476375" cy="1295400"/>
        </a:xfrm>
      </xdr:grpSpPr>
      <xdr:sp macro="" textlink="">
        <xdr:nvSpPr>
          <xdr:cNvPr id="9" name="Rectangle: Rounded Corners 8">
            <a:extLst>
              <a:ext uri="{FF2B5EF4-FFF2-40B4-BE49-F238E27FC236}">
                <a16:creationId xmlns:a16="http://schemas.microsoft.com/office/drawing/2014/main" id="{081586D9-0307-A08F-5E87-93105904666E}"/>
              </a:ext>
            </a:extLst>
          </xdr:cNvPr>
          <xdr:cNvSpPr/>
        </xdr:nvSpPr>
        <xdr:spPr>
          <a:xfrm>
            <a:off x="6629399" y="514350"/>
            <a:ext cx="1476375" cy="1295400"/>
          </a:xfrm>
          <a:prstGeom prst="roundRect">
            <a:avLst/>
          </a:prstGeom>
          <a:solidFill>
            <a:srgbClr val="C9A227"/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600" b="1" i="0" u="none" strike="noStrike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YoY Change</a:t>
            </a:r>
            <a:r>
              <a:rPr lang="en-US" sz="1600">
                <a:effectLst/>
              </a:rPr>
              <a:t> </a:t>
            </a:r>
            <a:endParaRPr lang="en-US" sz="1600"/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9D7862FC-143A-286E-9BDA-258D8891EDAC}"/>
              </a:ext>
            </a:extLst>
          </xdr:cNvPr>
          <xdr:cNvSpPr txBox="1"/>
        </xdr:nvSpPr>
        <xdr:spPr>
          <a:xfrm>
            <a:off x="6738936" y="842963"/>
            <a:ext cx="1257301" cy="638174"/>
          </a:xfrm>
          <a:prstGeom prst="rect">
            <a:avLst/>
          </a:prstGeom>
          <a:solidFill>
            <a:srgbClr val="C9A22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sz="2000" b="1" i="0" u="none" strike="noStrike">
                <a:solidFill>
                  <a:srgbClr val="008751"/>
                </a:solidFill>
                <a:effectLst/>
                <a:latin typeface="+mn-lt"/>
                <a:ea typeface="+mn-ea"/>
                <a:cs typeface="+mn-cs"/>
              </a:rPr>
              <a:t>-31.2%</a:t>
            </a:r>
            <a:r>
              <a:rPr lang="en-US" sz="2000">
                <a:solidFill>
                  <a:srgbClr val="008751"/>
                </a:solidFill>
                <a:effectLst/>
              </a:rPr>
              <a:t> </a:t>
            </a:r>
            <a:endParaRPr lang="en-US" sz="2000">
              <a:solidFill>
                <a:srgbClr val="008751"/>
              </a:solidFill>
            </a:endParaRPr>
          </a:p>
        </xdr:txBody>
      </xdr:sp>
    </xdr:grpSp>
    <xdr:clientData/>
  </xdr:twoCellAnchor>
  <xdr:twoCellAnchor>
    <xdr:from>
      <xdr:col>16</xdr:col>
      <xdr:colOff>173228</xdr:colOff>
      <xdr:row>0</xdr:row>
      <xdr:rowOff>0</xdr:rowOff>
    </xdr:from>
    <xdr:to>
      <xdr:col>18</xdr:col>
      <xdr:colOff>535178</xdr:colOff>
      <xdr:row>7</xdr:row>
      <xdr:rowOff>19050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3C233FFB-AF6B-4043-9446-6867C2FE69B8}"/>
            </a:ext>
          </a:extLst>
        </xdr:cNvPr>
        <xdr:cNvSpPr/>
      </xdr:nvSpPr>
      <xdr:spPr>
        <a:xfrm>
          <a:off x="9434282" y="0"/>
          <a:ext cx="1578396" cy="1453538"/>
        </a:xfrm>
        <a:prstGeom prst="roundRect">
          <a:avLst/>
        </a:prstGeom>
        <a:solidFill>
          <a:srgbClr val="00875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sz="1100" b="1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Agricultural Exports, Q1 2026 ('₦'million)</a:t>
          </a:r>
          <a:r>
            <a:rPr lang="en-US" sz="1200">
              <a:effectLst/>
            </a:rPr>
            <a:t> </a:t>
          </a:r>
          <a:r>
            <a:rPr lang="en-US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sz="1200">
              <a:effectLst/>
            </a:rPr>
            <a:t> </a:t>
          </a:r>
          <a:endParaRPr lang="en-US" sz="1200"/>
        </a:p>
      </xdr:txBody>
    </xdr:sp>
    <xdr:clientData/>
  </xdr:twoCellAnchor>
  <xdr:twoCellAnchor>
    <xdr:from>
      <xdr:col>0</xdr:col>
      <xdr:colOff>1</xdr:colOff>
      <xdr:row>8</xdr:row>
      <xdr:rowOff>0</xdr:rowOff>
    </xdr:from>
    <xdr:to>
      <xdr:col>8</xdr:col>
      <xdr:colOff>0</xdr:colOff>
      <xdr:row>21</xdr:row>
      <xdr:rowOff>190499</xdr:rowOff>
    </xdr:to>
    <xdr:graphicFrame macro="">
      <xdr:nvGraphicFramePr>
        <xdr:cNvPr id="22" name="Agricultural Export Value by Quarter, 2023–Q1 2026">
          <a:extLst>
            <a:ext uri="{FF2B5EF4-FFF2-40B4-BE49-F238E27FC236}">
              <a16:creationId xmlns:a16="http://schemas.microsoft.com/office/drawing/2014/main" id="{2B25EF14-1ACE-48A4-9D44-96BB4CD25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36</xdr:row>
      <xdr:rowOff>0</xdr:rowOff>
    </xdr:to>
    <xdr:graphicFrame macro="">
      <xdr:nvGraphicFramePr>
        <xdr:cNvPr id="24" name="Top Agricultural Export Commodities, Q1 2026">
          <a:extLst>
            <a:ext uri="{FF2B5EF4-FFF2-40B4-BE49-F238E27FC236}">
              <a16:creationId xmlns:a16="http://schemas.microsoft.com/office/drawing/2014/main" id="{3AB80CDF-BFF9-4B20-B2F9-F5A92A826A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8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27" name="Agricultural Exports by Destination Region, Q1 2026">
          <a:extLst>
            <a:ext uri="{FF2B5EF4-FFF2-40B4-BE49-F238E27FC236}">
              <a16:creationId xmlns:a16="http://schemas.microsoft.com/office/drawing/2014/main" id="{8769C5EB-9D09-4C72-A7EB-BA5F2EA235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0</xdr:colOff>
      <xdr:row>23</xdr:row>
      <xdr:rowOff>0</xdr:rowOff>
    </xdr:from>
    <xdr:to>
      <xdr:col>17</xdr:col>
      <xdr:colOff>0</xdr:colOff>
      <xdr:row>36</xdr:row>
      <xdr:rowOff>0</xdr:rowOff>
    </xdr:to>
    <xdr:graphicFrame macro="">
      <xdr:nvGraphicFramePr>
        <xdr:cNvPr id="29" name="Export Value Share by Sector, Q1 2026">
          <a:extLst>
            <a:ext uri="{FF2B5EF4-FFF2-40B4-BE49-F238E27FC236}">
              <a16:creationId xmlns:a16="http://schemas.microsoft.com/office/drawing/2014/main" id="{AF20E00C-7270-48B3-842E-1D6DD0C5CA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585271</xdr:colOff>
      <xdr:row>8</xdr:row>
      <xdr:rowOff>0</xdr:rowOff>
    </xdr:from>
    <xdr:to>
      <xdr:col>24</xdr:col>
      <xdr:colOff>0</xdr:colOff>
      <xdr:row>36</xdr:row>
      <xdr:rowOff>0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9E76AF6-F28C-45A2-AFE1-9B87EF67EC04}"/>
            </a:ext>
          </a:extLst>
        </xdr:cNvPr>
        <xdr:cNvSpPr txBox="1"/>
      </xdr:nvSpPr>
      <xdr:spPr>
        <a:xfrm>
          <a:off x="10454548" y="1629578"/>
          <a:ext cx="3672289" cy="5806808"/>
        </a:xfrm>
        <a:prstGeom prst="rect">
          <a:avLst/>
        </a:prstGeom>
        <a:solidFill>
          <a:srgbClr val="008751"/>
        </a:solidFill>
        <a:ln w="9525" cmpd="sng">
          <a:noFill/>
        </a:ln>
        <a:effectLst>
          <a:glow rad="139700">
            <a:schemeClr val="accent6">
              <a:satMod val="175000"/>
              <a:alpha val="40000"/>
            </a:schemeClr>
          </a:glow>
          <a:outerShdw blurRad="107950" dist="12700" dir="5400000" algn="ctr">
            <a:srgbClr val="000000"/>
          </a:outerShdw>
          <a:softEdge rad="12700"/>
        </a:effectLst>
        <a:scene3d>
          <a:camera prst="orthographicFront"/>
          <a:lightRig rig="threePt" dir="t"/>
        </a:scene3d>
        <a:sp3d>
          <a:bevelT prst="angle"/>
        </a:sp3d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sz="1600">
              <a:solidFill>
                <a:srgbClr val="9E9E9E"/>
              </a:solidFill>
            </a:rPr>
            <a:t>.</a:t>
          </a:r>
        </a:p>
      </xdr:txBody>
    </xdr:sp>
    <xdr:clientData/>
  </xdr:twoCellAnchor>
  <xdr:oneCellAnchor>
    <xdr:from>
      <xdr:col>28</xdr:col>
      <xdr:colOff>0</xdr:colOff>
      <xdr:row>18</xdr:row>
      <xdr:rowOff>0</xdr:rowOff>
    </xdr:from>
    <xdr:ext cx="184731" cy="288000"/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AE70FBC5-1CD8-7933-542E-E795A185F080}"/>
            </a:ext>
          </a:extLst>
        </xdr:cNvPr>
        <xdr:cNvSpPr txBox="1"/>
      </xdr:nvSpPr>
      <xdr:spPr>
        <a:xfrm>
          <a:off x="16559729" y="3924759"/>
          <a:ext cx="184731" cy="2880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twoCellAnchor>
    <xdr:from>
      <xdr:col>18</xdr:col>
      <xdr:colOff>0</xdr:colOff>
      <xdr:row>8</xdr:row>
      <xdr:rowOff>68856</xdr:rowOff>
    </xdr:from>
    <xdr:to>
      <xdr:col>22</xdr:col>
      <xdr:colOff>45904</xdr:colOff>
      <xdr:row>10</xdr:row>
      <xdr:rowOff>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39F2997F-890D-4FDF-100B-FCE7E3CC11F9}"/>
            </a:ext>
          </a:extLst>
        </xdr:cNvPr>
        <xdr:cNvSpPr txBox="1"/>
      </xdr:nvSpPr>
      <xdr:spPr>
        <a:xfrm>
          <a:off x="10477500" y="1698434"/>
          <a:ext cx="2478796" cy="390180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 b="1" i="1" u="dbl">
              <a:solidFill>
                <a:srgbClr val="008751"/>
              </a:solidFill>
              <a:effectLst/>
              <a:latin typeface="+mn-lt"/>
              <a:ea typeface="+mn-ea"/>
              <a:cs typeface="+mn-cs"/>
            </a:rPr>
            <a:t>KEY INSIGHTS</a:t>
          </a:r>
          <a:endParaRPr lang="en-US" sz="1600" b="1" i="1" u="dbl">
            <a:solidFill>
              <a:srgbClr val="008751"/>
            </a:solidFill>
            <a:effectLst/>
          </a:endParaRPr>
        </a:p>
        <a:p>
          <a:endParaRPr lang="en-US" sz="1200" b="1" i="1" u="dbl"/>
        </a:p>
      </xdr:txBody>
    </xdr:sp>
    <xdr:clientData/>
  </xdr:twoCellAnchor>
  <xdr:twoCellAnchor>
    <xdr:from>
      <xdr:col>18</xdr:col>
      <xdr:colOff>0</xdr:colOff>
      <xdr:row>10</xdr:row>
      <xdr:rowOff>149187</xdr:rowOff>
    </xdr:from>
    <xdr:to>
      <xdr:col>23</xdr:col>
      <xdr:colOff>0</xdr:colOff>
      <xdr:row>14</xdr:row>
      <xdr:rowOff>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669F6650-4B53-4970-A456-9E3387B29568}"/>
            </a:ext>
          </a:extLst>
        </xdr:cNvPr>
        <xdr:cNvSpPr txBox="1"/>
      </xdr:nvSpPr>
      <xdr:spPr>
        <a:xfrm>
          <a:off x="10477500" y="2237801"/>
          <a:ext cx="3041114" cy="837741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US" sz="1600" b="0" i="1" u="none">
              <a:solidFill>
                <a:srgbClr val="008751"/>
              </a:solidFill>
              <a:effectLst/>
              <a:latin typeface="+mn-lt"/>
              <a:ea typeface="+mn-ea"/>
              <a:cs typeface="+mn-cs"/>
            </a:rPr>
            <a:t>The agricultural sector accounted for 5.5% of Nigeria's total export value in Q1 2026.  </a:t>
          </a:r>
          <a:endParaRPr lang="en-US" sz="1200" b="0" i="1" u="none"/>
        </a:p>
      </xdr:txBody>
    </xdr:sp>
    <xdr:clientData/>
  </xdr:twoCellAnchor>
  <xdr:twoCellAnchor>
    <xdr:from>
      <xdr:col>18</xdr:col>
      <xdr:colOff>0</xdr:colOff>
      <xdr:row>14</xdr:row>
      <xdr:rowOff>80331</xdr:rowOff>
    </xdr:from>
    <xdr:to>
      <xdr:col>24</xdr:col>
      <xdr:colOff>0</xdr:colOff>
      <xdr:row>21</xdr:row>
      <xdr:rowOff>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106C9BC-6AF7-4832-B8BC-C11337A4CE80}"/>
            </a:ext>
          </a:extLst>
        </xdr:cNvPr>
        <xdr:cNvSpPr txBox="1"/>
      </xdr:nvSpPr>
      <xdr:spPr>
        <a:xfrm>
          <a:off x="10477500" y="3155873"/>
          <a:ext cx="3649337" cy="1354157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US" sz="1600" b="0" i="1" u="none">
              <a:solidFill>
                <a:srgbClr val="008751"/>
              </a:solidFill>
              <a:effectLst/>
              <a:latin typeface="+mn-lt"/>
              <a:ea typeface="+mn-ea"/>
              <a:cs typeface="+mn-cs"/>
            </a:rPr>
            <a:t>Asia was the leading export destination region for agricultural goods in Q1 2026, generating ₦529,450m narrowly ahead of Europe at ₦500,343m.  </a:t>
          </a:r>
          <a:endParaRPr lang="en-US" sz="1200" b="0" i="1" u="none"/>
        </a:p>
      </xdr:txBody>
    </xdr:sp>
    <xdr:clientData/>
  </xdr:twoCellAnchor>
  <xdr:twoCellAnchor>
    <xdr:from>
      <xdr:col>18</xdr:col>
      <xdr:colOff>0</xdr:colOff>
      <xdr:row>21</xdr:row>
      <xdr:rowOff>68856</xdr:rowOff>
    </xdr:from>
    <xdr:to>
      <xdr:col>24</xdr:col>
      <xdr:colOff>0</xdr:colOff>
      <xdr:row>28</xdr:row>
      <xdr:rowOff>68856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39D3D3BF-5FA4-4AC1-BC40-9489E890BEB6}"/>
            </a:ext>
          </a:extLst>
        </xdr:cNvPr>
        <xdr:cNvSpPr txBox="1"/>
      </xdr:nvSpPr>
      <xdr:spPr>
        <a:xfrm>
          <a:off x="10477500" y="4578886"/>
          <a:ext cx="3649337" cy="1365633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US" sz="1600" b="0" i="1" u="none">
              <a:solidFill>
                <a:srgbClr val="008751"/>
              </a:solidFill>
              <a:effectLst/>
              <a:latin typeface="+mn-lt"/>
              <a:ea typeface="+mn-ea"/>
              <a:cs typeface="+mn-cs"/>
            </a:rPr>
            <a:t>Agricultural exports rose sharply from ₦279,640m in Q1 2023 to a peak of ₦1,704,145m in Q1 2025, before declining 31.2% year-over-year to ₦1,172,373m in Q1 2026. </a:t>
          </a:r>
          <a:endParaRPr lang="en-US" sz="1200" b="0" i="1" u="none"/>
        </a:p>
      </xdr:txBody>
    </xdr:sp>
    <xdr:clientData/>
  </xdr:twoCellAnchor>
  <xdr:twoCellAnchor>
    <xdr:from>
      <xdr:col>18</xdr:col>
      <xdr:colOff>0</xdr:colOff>
      <xdr:row>28</xdr:row>
      <xdr:rowOff>137710</xdr:rowOff>
    </xdr:from>
    <xdr:to>
      <xdr:col>23</xdr:col>
      <xdr:colOff>0</xdr:colOff>
      <xdr:row>33</xdr:row>
      <xdr:rowOff>0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24BDF81C-65AD-4BCE-A7B7-EC9512D7580B}"/>
            </a:ext>
          </a:extLst>
        </xdr:cNvPr>
        <xdr:cNvSpPr txBox="1"/>
      </xdr:nvSpPr>
      <xdr:spPr>
        <a:xfrm>
          <a:off x="10477500" y="6013373"/>
          <a:ext cx="3041114" cy="837741"/>
        </a:xfrm>
        <a:prstGeom prst="rect">
          <a:avLst/>
        </a:prstGeom>
        <a:solidFill>
          <a:schemeClr val="bg2">
            <a:lumMod val="7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285750" marR="0" lvl="0" indent="-28575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 typeface="Wingdings" panose="05000000000000000000" pitchFamily="2" charset="2"/>
            <a:buChar char="Ø"/>
            <a:tabLst/>
            <a:defRPr/>
          </a:pPr>
          <a:r>
            <a:rPr lang="en-US" sz="1600" b="0" i="1" u="none">
              <a:solidFill>
                <a:srgbClr val="008751"/>
              </a:solidFill>
              <a:effectLst/>
              <a:latin typeface="+mn-lt"/>
              <a:ea typeface="+mn-ea"/>
              <a:cs typeface="+mn-cs"/>
            </a:rPr>
            <a:t>Q1 2025 recorded the highest agricultural export value in the series </a:t>
          </a:r>
          <a:endParaRPr lang="en-US" sz="1200" b="0" i="1" u="none"/>
        </a:p>
      </xdr:txBody>
    </xdr:sp>
    <xdr:clientData/>
  </xdr:twoCellAnchor>
  <xdr:twoCellAnchor>
    <xdr:from>
      <xdr:col>16</xdr:col>
      <xdr:colOff>354203</xdr:colOff>
      <xdr:row>2</xdr:row>
      <xdr:rowOff>102307</xdr:rowOff>
    </xdr:from>
    <xdr:to>
      <xdr:col>18</xdr:col>
      <xdr:colOff>354203</xdr:colOff>
      <xdr:row>4</xdr:row>
      <xdr:rowOff>180689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64032670-E013-E041-BE92-96A41862FBCF}"/>
            </a:ext>
          </a:extLst>
        </xdr:cNvPr>
        <xdr:cNvSpPr txBox="1"/>
      </xdr:nvSpPr>
      <xdr:spPr>
        <a:xfrm>
          <a:off x="9615257" y="492488"/>
          <a:ext cx="1216446" cy="468562"/>
        </a:xfrm>
        <a:prstGeom prst="rect">
          <a:avLst/>
        </a:prstGeom>
        <a:solidFill>
          <a:srgbClr val="00875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000" b="1" i="0" u="none" strike="noStrike">
              <a:solidFill>
                <a:srgbClr val="C9A227"/>
              </a:solidFill>
              <a:effectLst/>
              <a:latin typeface="Calibri" panose="020F0502020204030204" pitchFamily="34" charset="0"/>
            </a:rPr>
            <a:t>1,172,373 </a:t>
          </a:r>
          <a:endParaRPr lang="en-US" sz="2000">
            <a:solidFill>
              <a:srgbClr val="C9A227"/>
            </a:solidFill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25.664868055559" createdVersion="8" refreshedVersion="8" minRefreshableVersion="3" recordCount="7" xr:uid="{F0B01932-6E93-4F49-9AB8-12C646DA689A}">
  <cacheSource type="worksheet">
    <worksheetSource name="tbl_CommoditiesQ1"/>
  </cacheSource>
  <cacheFields count="2">
    <cacheField name="Product" numFmtId="0">
      <sharedItems count="7">
        <s v="Superior quality Cocoa beans"/>
        <s v="Sesamum seeds"/>
        <s v="Soya beans (excl. seed)"/>
        <s v="Cashew nuts in shell"/>
        <s v="Flours &amp; meals of soya beans"/>
        <s v="Natural cocoa butter"/>
        <s v="Cashew nuts shelled"/>
      </sharedItems>
    </cacheField>
    <cacheField name="Value (₦'million)" numFmtId="3">
      <sharedItems containsSemiMixedTypes="0" containsString="0" containsNumber="1" minValue="16690.099999999999" maxValue="5968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26.521729398148" createdVersion="8" refreshedVersion="8" minRefreshableVersion="3" recordCount="5" xr:uid="{819BD801-159C-41D8-B821-3509A2BD06F9}">
  <cacheSource type="worksheet">
    <worksheetSource name="tbl_Region"/>
  </cacheSource>
  <cacheFields count="2">
    <cacheField name="Region" numFmtId="0">
      <sharedItems count="5">
        <s v="Asia"/>
        <s v="Europe"/>
        <s v="America"/>
        <s v="Africa"/>
        <s v="Oceania"/>
      </sharedItems>
    </cacheField>
    <cacheField name="Value (₦'million)" numFmtId="3">
      <sharedItems containsSemiMixedTypes="0" containsString="0" containsNumber="1" minValue="260.5" maxValue="529449.699999999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26.521782175929" createdVersion="8" refreshedVersion="8" minRefreshableVersion="3" recordCount="6" xr:uid="{05C06DF5-AA39-4B7A-BD70-E55CFFB12F1A}">
  <cacheSource type="worksheet">
    <worksheetSource name="tbl_SectorExports"/>
  </cacheSource>
  <cacheFields count="3">
    <cacheField name="Sector" numFmtId="0">
      <sharedItems count="6">
        <s v="Crude Oil"/>
        <s v="Other Oil Products"/>
        <s v="Agriculture"/>
        <s v="Raw Materials"/>
        <s v="Manufactured Goods"/>
        <s v="Solid Minerals"/>
      </sharedItems>
      <fieldGroup par="2"/>
    </cacheField>
    <cacheField name="Value (₦'million)" numFmtId="3">
      <sharedItems containsSemiMixedTypes="0" containsString="0" containsNumber="1" minValue="102799.2" maxValue="11202350.199999999"/>
    </cacheField>
    <cacheField name="Sector2" numFmtId="0" databaseField="0">
      <fieldGroup base="0">
        <discretePr count="6">
          <x v="0"/>
          <x v="1"/>
          <x v="2"/>
          <x v="3"/>
          <x v="4"/>
          <x v="4"/>
        </discretePr>
        <groupItems count="5">
          <s v="Crude Oil"/>
          <s v="Other Oil Products"/>
          <s v="Agriculture"/>
          <s v="Raw Materials"/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227.893051967592" createdVersion="8" refreshedVersion="8" minRefreshableVersion="3" recordCount="13" xr:uid="{DDE67643-913E-435C-848A-3BB2790FA00B}">
  <cacheSource type="worksheet">
    <worksheetSource name="tbl_AgriExports"/>
  </cacheSource>
  <cacheFields count="9">
    <cacheField name="Quarter" numFmtId="0">
      <sharedItems containsBlank="1" count="14">
        <s v="Q1 2023"/>
        <s v="Q2 2023"/>
        <s v="Q3 2023"/>
        <s v="Q4 2023"/>
        <s v="Q1 2024"/>
        <s v="Q2 2024"/>
        <s v="Q3 2024"/>
        <s v="Q4 2024"/>
        <s v="Q1 2025"/>
        <s v="Q2 2025"/>
        <s v="Q3 2025"/>
        <s v="Q4 2025"/>
        <s v="Q1 2026"/>
        <m u="1"/>
      </sharedItems>
    </cacheField>
    <cacheField name="Total Exports (₦'m)" numFmtId="3">
      <sharedItems containsSemiMixedTypes="0" containsString="0" containsNumber="1" minValue="6435130.2000000002" maxValue="22813567.899999999"/>
    </cacheField>
    <cacheField name="Agricultural Exports (₦'m)" numFmtId="3">
      <sharedItems containsSemiMixedTypes="0" containsString="0" containsNumber="1" minValue="219989.7" maxValue="1704145.1"/>
    </cacheField>
    <cacheField name="Agri % of Total Exports" numFmtId="164">
      <sharedItems containsSemiMixedTypes="0" containsString="0" containsNumber="1" minValue="2.1262020091442759E-2" maxValue="8.2731591545333771E-2"/>
    </cacheField>
    <cacheField name="Quarter Start Date" numFmtId="14">
      <sharedItems containsSemiMixedTypes="0" containsNonDate="0" containsDate="1" containsString="0" minDate="2023-01-01T00:00:00" maxDate="2026-01-02T00:00:00" count="13">
        <d v="2023-01-01T00:00:00"/>
        <d v="2023-04-01T00:00:00"/>
        <d v="2023-07-01T00:00:00"/>
        <d v="2023-10-01T00:00:00"/>
        <d v="2024-01-01T00:00:00"/>
        <d v="2024-04-01T00:00:00"/>
        <d v="2024-07-01T00:00:00"/>
        <d v="2024-10-01T00:00:00"/>
        <d v="2025-01-01T00:00:00"/>
        <d v="2025-04-01T00:00:00"/>
        <d v="2025-07-01T00:00:00"/>
        <d v="2025-10-01T00:00:00"/>
        <d v="2026-01-01T00:00:00"/>
      </sharedItems>
      <fieldGroup par="8"/>
    </cacheField>
    <cacheField name="Year" numFmtId="0">
      <sharedItems containsSemiMixedTypes="0" containsString="0" containsNumber="1" containsInteger="1" minValue="2023" maxValue="2026" count="4">
        <n v="2023"/>
        <n v="2024"/>
        <n v="2025"/>
        <n v="2026"/>
      </sharedItems>
    </cacheField>
    <cacheField name="Months (Quarter Start Date)" numFmtId="0" databaseField="0">
      <fieldGroup base="4">
        <rangePr groupBy="months" startDate="2023-01-01T00:00:00" endDate="2026-01-02T00:00:00"/>
        <groupItems count="14">
          <s v="&lt;01/01/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2/01/2026"/>
        </groupItems>
      </fieldGroup>
    </cacheField>
    <cacheField name="Quarters (Quarter Start Date)" numFmtId="0" databaseField="0">
      <fieldGroup base="4">
        <rangePr groupBy="quarters" startDate="2023-01-01T00:00:00" endDate="2026-01-02T00:00:00"/>
        <groupItems count="6">
          <s v="&lt;01/01/2023"/>
          <s v="Qtr1"/>
          <s v="Qtr2"/>
          <s v="Qtr3"/>
          <s v="Qtr4"/>
          <s v="&gt;02/01/2026"/>
        </groupItems>
      </fieldGroup>
    </cacheField>
    <cacheField name="Years (Quarter Start Date)" numFmtId="0" databaseField="0">
      <fieldGroup base="4">
        <rangePr groupBy="years" startDate="2023-01-01T00:00:00" endDate="2026-01-02T00:00:00"/>
        <groupItems count="6">
          <s v="&lt;01/01/2023"/>
          <s v="2023"/>
          <s v="2024"/>
          <s v="2025"/>
          <s v="2026"/>
          <s v="&gt;02/01/2026"/>
        </groupItems>
      </fieldGroup>
    </cacheField>
  </cacheFields>
  <extLst>
    <ext xmlns:x14="http://schemas.microsoft.com/office/spreadsheetml/2009/9/main" uri="{725AE2AE-9491-48be-B2B4-4EB974FC3084}">
      <x14:pivotCacheDefinition pivotCacheId="26661863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x v="0"/>
    <n v="596896"/>
  </r>
  <r>
    <x v="1"/>
    <n v="153776.29999999999"/>
  </r>
  <r>
    <x v="2"/>
    <n v="129273.4"/>
  </r>
  <r>
    <x v="3"/>
    <n v="119763.4"/>
  </r>
  <r>
    <x v="4"/>
    <n v="53198"/>
  </r>
  <r>
    <x v="5"/>
    <n v="41688.699999999997"/>
  </r>
  <r>
    <x v="6"/>
    <n v="16690.099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529449.69999999995"/>
  </r>
  <r>
    <x v="1"/>
    <n v="500342.7"/>
  </r>
  <r>
    <x v="2"/>
    <n v="121199.4"/>
  </r>
  <r>
    <x v="3"/>
    <n v="21121.200000000001"/>
  </r>
  <r>
    <x v="4"/>
    <n v="260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1202350.199999999"/>
  </r>
  <r>
    <x v="1"/>
    <n v="6780180.2999999998"/>
  </r>
  <r>
    <x v="2"/>
    <n v="1172373.3999999999"/>
  </r>
  <r>
    <x v="3"/>
    <n v="1533746.8"/>
  </r>
  <r>
    <x v="4"/>
    <n v="302643"/>
  </r>
  <r>
    <x v="5"/>
    <n v="102799.2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n v="6487038.9000000004"/>
    <n v="279639.7"/>
    <n v="4.3107449224637759E-2"/>
    <x v="0"/>
    <x v="0"/>
  </r>
  <r>
    <x v="1"/>
    <n v="6435130.2000000002"/>
    <n v="280870.2"/>
    <n v="4.364638962549662E-2"/>
    <x v="1"/>
    <x v="0"/>
  </r>
  <r>
    <x v="2"/>
    <n v="10346603.9"/>
    <n v="219989.7"/>
    <n v="2.1262020091442759E-2"/>
    <x v="2"/>
    <x v="0"/>
  </r>
  <r>
    <x v="3"/>
    <n v="12693619.5"/>
    <n v="463971.8"/>
    <n v="3.6551576167853463E-2"/>
    <x v="3"/>
    <x v="0"/>
  </r>
  <r>
    <x v="4"/>
    <n v="19176193.800000001"/>
    <n v="1035023.7"/>
    <n v="5.3974407580298853E-2"/>
    <x v="4"/>
    <x v="1"/>
  </r>
  <r>
    <x v="5"/>
    <n v="17714407.199999999"/>
    <n v="973686.5"/>
    <n v="5.4965796428118691E-2"/>
    <x v="5"/>
    <x v="1"/>
  </r>
  <r>
    <x v="6"/>
    <n v="20537168.800000001"/>
    <n v="890717.1"/>
    <n v="4.337097818468532E-2"/>
    <x v="6"/>
    <x v="1"/>
  </r>
  <r>
    <x v="7"/>
    <n v="20014329.100000001"/>
    <n v="1540457.4"/>
    <n v="7.6967726087805749E-2"/>
    <x v="7"/>
    <x v="1"/>
  </r>
  <r>
    <x v="8"/>
    <n v="20598480.800000001"/>
    <n v="1704145.1"/>
    <n v="8.2731591545333771E-2"/>
    <x v="8"/>
    <x v="2"/>
  </r>
  <r>
    <x v="9"/>
    <n v="22750744.199999999"/>
    <n v="1256355.3"/>
    <n v="5.5222602344586168E-2"/>
    <x v="9"/>
    <x v="2"/>
  </r>
  <r>
    <x v="10"/>
    <n v="22813567.899999999"/>
    <n v="786615.9"/>
    <n v="3.4480178788693548E-2"/>
    <x v="10"/>
    <x v="2"/>
  </r>
  <r>
    <x v="11"/>
    <n v="18963410"/>
    <n v="1323064.8999999999"/>
    <n v="6.9769355827881158E-2"/>
    <x v="11"/>
    <x v="2"/>
  </r>
  <r>
    <x v="12"/>
    <n v="21169266.800000001"/>
    <n v="1172373.3999999999"/>
    <n v="5.5380916640910771E-2"/>
    <x v="12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6FCB38-7DF8-4769-BDF9-561124969771}" name="PivotTable4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4">
  <location ref="A18:B31" firstHeaderRow="1" firstDataRow="1" firstDataCol="1"/>
  <pivotFields count="9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13"/>
        <item t="default"/>
      </items>
    </pivotField>
    <pivotField numFmtId="3" showAll="0"/>
    <pivotField dataField="1" numFmtId="3" showAll="0"/>
    <pivotField numFmtId="164"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Items count="1">
    <i/>
  </colItems>
  <dataFields count="1">
    <dataField name="Sum of Agricultural Exports (₦'m)" fld="2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A85635-A54F-4548-935F-2255C65EDA9E}" name="PivotTable9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E2:F16" firstHeaderRow="1" firstDataRow="1" firstDataCol="1"/>
  <pivotFields count="9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m="1" x="13"/>
        <item t="default"/>
      </items>
    </pivotField>
    <pivotField numFmtId="3" showAll="0"/>
    <pivotField dataField="1" numFmtId="3" showAll="0"/>
    <pivotField numFmtId="164" showAll="0"/>
    <pivotField numFmtId="14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0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Agricultural Exports (₦'m)" fld="2" baseField="0" baseItem="0" numFmtId="3"/>
  </dataFields>
  <chartFormats count="1">
    <chartFormat chart="8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5C6C76-3D6C-47A7-A80E-EC027556E3CE}" name="Agricultural Export Value by Quarter, 2023–Q1 2026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Quarter">
  <location ref="A2:C15" firstHeaderRow="0" firstDataRow="1" firstDataCol="1"/>
  <pivotFields count="9">
    <pivotField axis="axisRow" showAll="0" sortType="ascending" defaultSubtotal="0">
      <items count="14">
        <item sd="0" x="0"/>
        <item sd="0" x="4"/>
        <item sd="0" x="8"/>
        <item sd="0" x="12"/>
        <item sd="0" x="1"/>
        <item sd="0" x="5"/>
        <item sd="0" x="9"/>
        <item sd="0" x="2"/>
        <item sd="0" x="6"/>
        <item sd="0" x="10"/>
        <item sd="0" x="3"/>
        <item sd="0" x="7"/>
        <item sd="0" x="11"/>
        <item sd="0" m="1" x="13"/>
      </items>
    </pivotField>
    <pivotField dataField="1" showAll="0"/>
    <pivotField dataField="1"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2">
    <field x="0"/>
    <field x="4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Sum of Agricultural Exports (₦'m)" fld="2" baseField="0" baseItem="0" numFmtId="43"/>
    <dataField name="Sum of Total Exports (₦'m)" fld="1" baseField="0" baseItem="0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CA96F-AD11-4257-A074-070F43E02948}" name="Top Agricultural Export Commodities, Q1 202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6">
  <location ref="H2:I9" firstHeaderRow="1" firstDataRow="1" firstDataCol="1"/>
  <pivotFields count="2">
    <pivotField axis="axisRow" showAll="0" sortType="descending">
      <items count="8">
        <item x="3"/>
        <item x="6"/>
        <item x="4"/>
        <item x="5"/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</pivotFields>
  <rowFields count="1">
    <field x="0"/>
  </rowFields>
  <rowItems count="7">
    <i>
      <x v="6"/>
    </i>
    <i>
      <x v="4"/>
    </i>
    <i>
      <x v="5"/>
    </i>
    <i>
      <x/>
    </i>
    <i>
      <x v="2"/>
    </i>
    <i>
      <x v="3"/>
    </i>
    <i>
      <x v="1"/>
    </i>
  </rowItems>
  <colItems count="1">
    <i/>
  </colItems>
  <dataFields count="1">
    <dataField name="Sum of Value (₦'million)" fld="1" baseField="0" baseItem="0" numFmtId="3"/>
  </dataFields>
  <chartFormats count="1"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81DC8B-93F2-4D4F-AACD-2EA778EEE322}" name="Agricultural Exports by Destination Region, Q1 202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E18:F23" firstHeaderRow="1" firstDataRow="1" firstDataCol="1"/>
  <pivotFields count="2">
    <pivotField axis="axisRow" showAll="0" sortType="descending">
      <items count="6">
        <item x="3"/>
        <item x="2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numFmtId="3" showAll="0"/>
  </pivotFields>
  <rowFields count="1">
    <field x="0"/>
  </rowFields>
  <rowItems count="5">
    <i>
      <x v="2"/>
    </i>
    <i>
      <x v="3"/>
    </i>
    <i>
      <x v="1"/>
    </i>
    <i>
      <x/>
    </i>
    <i>
      <x v="4"/>
    </i>
  </rowItems>
  <colItems count="1">
    <i/>
  </colItems>
  <dataFields count="1">
    <dataField name="Sum of Value (₦'million)" fld="1" baseField="0" baseItem="0" numFmtId="3"/>
  </dataFields>
  <chartFormats count="1"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2EBAD6-A604-4A65-AB2C-290938B197A1}" name="Export Value Share by Sector, Q1 2026" cacheId="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9">
  <location ref="E25:F30" firstHeaderRow="1" firstDataRow="1" firstDataCol="1"/>
  <pivotFields count="3">
    <pivotField showAll="0">
      <items count="7">
        <item x="2"/>
        <item x="0"/>
        <item x="4"/>
        <item x="1"/>
        <item x="3"/>
        <item x="5"/>
        <item t="default"/>
      </items>
    </pivotField>
    <pivotField dataField="1" numFmtId="3" showAll="0"/>
    <pivotField axis="axisRow" showAll="0">
      <items count="6">
        <item sd="0" x="2"/>
        <item sd="0" x="0"/>
        <item n="Others" sd="0" x="4"/>
        <item sd="0" x="1"/>
        <item sd="0" x="3"/>
        <item t="default"/>
      </items>
    </pivotField>
  </pivotFields>
  <rowFields count="1">
    <field x="2"/>
  </rowFields>
  <rowItems count="5">
    <i>
      <x/>
    </i>
    <i>
      <x v="1"/>
    </i>
    <i>
      <x v="2"/>
    </i>
    <i>
      <x v="3"/>
    </i>
    <i>
      <x v="4"/>
    </i>
  </rowItems>
  <colItems count="1">
    <i/>
  </colItems>
  <dataFields count="1">
    <dataField name="Sum of Value (₦'million)" fld="1" baseField="0" baseItem="0" numFmtId="3"/>
  </dataFields>
  <chartFormats count="6">
    <chartFormat chart="6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20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6" format="2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6" format="22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6" format="23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6" format="24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02549CA-D03D-4B06-9130-CEB73D653976}" name="tbl_AgriExports" displayName="tbl_AgriExports" ref="A3:F16" totalsRowShown="0" headerRowDxfId="28" headerRowBorderDxfId="27" tableBorderDxfId="26" totalsRowBorderDxfId="25">
  <autoFilter ref="A3:F16" xr:uid="{A02549CA-D03D-4B06-9130-CEB73D653976}"/>
  <tableColumns count="6">
    <tableColumn id="1" xr3:uid="{523D8156-1358-494A-BB97-7D093ECDD09A}" name="Quarter" dataDxfId="24"/>
    <tableColumn id="2" xr3:uid="{8F012A7A-B59E-4D59-80EA-9B49AF7D7335}" name="Total Exports (₦'m)" dataDxfId="23"/>
    <tableColumn id="3" xr3:uid="{860A5FFA-3012-4B65-935A-15FC24A05CF5}" name="Agricultural Exports (₦'m)" dataDxfId="22"/>
    <tableColumn id="4" xr3:uid="{CACF14F2-001D-42F3-9957-6D695DD96ECF}" name="Agri % of Total Exports" dataDxfId="21">
      <calculatedColumnFormula>C4/B4</calculatedColumnFormula>
    </tableColumn>
    <tableColumn id="7" xr3:uid="{6003BE69-C236-40BD-A86E-4949A5961976}" name="Quarter Start Date" dataDxfId="20"/>
    <tableColumn id="8" xr3:uid="{55845A0F-EF99-40E3-8042-63BBAE65BCA8}" name="Year" dataDxfId="19">
      <calculatedColumnFormula>YEAR(tbl_AgriExports[[#This Row],[Quarter Start 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8D0109-94E7-45B9-A5CA-FDB1C77FA1EE}" name="tbl_CommoditiesQ1" displayName="tbl_CommoditiesQ1" ref="A20:B27" totalsRowShown="0" headerRowDxfId="18" headerRowBorderDxfId="17" tableBorderDxfId="16" totalsRowBorderDxfId="15">
  <autoFilter ref="A20:B27" xr:uid="{9E8D0109-94E7-45B9-A5CA-FDB1C77FA1EE}"/>
  <tableColumns count="2">
    <tableColumn id="1" xr3:uid="{40A1F107-2094-4E3F-BE47-AF0E337063DB}" name="Product" dataDxfId="14"/>
    <tableColumn id="2" xr3:uid="{92C54C34-C11E-4AF3-BD32-E0C8B764672F}" name="Value (₦'million)" dataDxfId="1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1229BD3-C186-4BC2-9985-DA940AA37EFD}" name="tbl_SectorExports" displayName="tbl_SectorExports" ref="A32:B38" totalsRowShown="0" headerRowDxfId="12" headerRowBorderDxfId="11" tableBorderDxfId="10" totalsRowBorderDxfId="9">
  <autoFilter ref="A32:B38" xr:uid="{31229BD3-C186-4BC2-9985-DA940AA37EFD}"/>
  <tableColumns count="2">
    <tableColumn id="1" xr3:uid="{1E5C02BB-98D2-4B2F-B2A1-9406EAEE2BAA}" name="Sector" dataDxfId="8"/>
    <tableColumn id="2" xr3:uid="{EC161771-6388-4A86-AF93-01B1FE5E2E73}" name="Value (₦'million)" dataDxfId="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DCD3824-0D18-4013-BC3F-2991E0721154}" name="tbl_Region" displayName="tbl_Region" ref="A43:B48" totalsRowShown="0" headerRowDxfId="6" headerRowBorderDxfId="5" tableBorderDxfId="4" totalsRowBorderDxfId="3">
  <autoFilter ref="A43:B48" xr:uid="{5DCD3824-0D18-4013-BC3F-2991E0721154}"/>
  <tableColumns count="2">
    <tableColumn id="1" xr3:uid="{0C7A9DC3-E5FA-4D3F-9A56-29A36D84D16E}" name="Region" dataDxfId="2"/>
    <tableColumn id="2" xr3:uid="{2E3CC9C5-05C8-4601-8920-E055F503296F}" name="Value (₦'million)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7C65B-B429-4C8D-9BF8-14937604C29B}">
  <sheetPr>
    <tabColor theme="6"/>
  </sheetPr>
  <dimension ref="A2:F57"/>
  <sheetViews>
    <sheetView zoomScale="92" workbookViewId="0">
      <selection activeCell="D18" sqref="D18"/>
    </sheetView>
  </sheetViews>
  <sheetFormatPr defaultRowHeight="15" x14ac:dyDescent="0.25"/>
  <cols>
    <col min="1" max="1" width="73.42578125" bestFit="1" customWidth="1"/>
    <col min="2" max="2" width="20.140625" customWidth="1"/>
    <col min="3" max="3" width="26.140625" customWidth="1"/>
    <col min="4" max="4" width="26.7109375" bestFit="1" customWidth="1"/>
    <col min="5" max="6" width="23.5703125" customWidth="1"/>
    <col min="7" max="7" width="20" bestFit="1" customWidth="1"/>
  </cols>
  <sheetData>
    <row r="2" spans="1:6" ht="15.75" x14ac:dyDescent="0.25">
      <c r="A2" s="1" t="s">
        <v>0</v>
      </c>
    </row>
    <row r="3" spans="1:6" x14ac:dyDescent="0.25">
      <c r="A3" s="7" t="s">
        <v>1</v>
      </c>
      <c r="B3" s="8" t="s">
        <v>2</v>
      </c>
      <c r="C3" s="8" t="s">
        <v>3</v>
      </c>
      <c r="D3" s="9" t="s">
        <v>4</v>
      </c>
      <c r="E3" s="24" t="s">
        <v>46</v>
      </c>
      <c r="F3" s="24" t="s">
        <v>50</v>
      </c>
    </row>
    <row r="4" spans="1:6" x14ac:dyDescent="0.25">
      <c r="A4" s="5" t="s">
        <v>5</v>
      </c>
      <c r="B4" s="3">
        <v>6487038.9000000004</v>
      </c>
      <c r="C4" s="3">
        <v>279639.7</v>
      </c>
      <c r="D4" s="6">
        <f t="shared" ref="D4:D15" si="0">C4/B4</f>
        <v>4.3107449224637759E-2</v>
      </c>
      <c r="E4" s="20">
        <v>44927</v>
      </c>
      <c r="F4" s="25">
        <f>YEAR(tbl_AgriExports[[#This Row],[Quarter Start Date]])</f>
        <v>2023</v>
      </c>
    </row>
    <row r="5" spans="1:6" x14ac:dyDescent="0.25">
      <c r="A5" s="5" t="s">
        <v>6</v>
      </c>
      <c r="B5" s="3">
        <v>6435130.2000000002</v>
      </c>
      <c r="C5" s="3">
        <v>280870.2</v>
      </c>
      <c r="D5" s="6">
        <f t="shared" si="0"/>
        <v>4.364638962549662E-2</v>
      </c>
      <c r="E5" s="21">
        <v>45017</v>
      </c>
      <c r="F5" s="26">
        <f>YEAR(tbl_AgriExports[[#This Row],[Quarter Start Date]])</f>
        <v>2023</v>
      </c>
    </row>
    <row r="6" spans="1:6" x14ac:dyDescent="0.25">
      <c r="A6" s="5" t="s">
        <v>7</v>
      </c>
      <c r="B6" s="3">
        <v>10346603.9</v>
      </c>
      <c r="C6" s="3">
        <v>219989.7</v>
      </c>
      <c r="D6" s="6">
        <f t="shared" si="0"/>
        <v>2.1262020091442759E-2</v>
      </c>
      <c r="E6" s="22">
        <v>45108</v>
      </c>
      <c r="F6" s="27">
        <f>YEAR(tbl_AgriExports[[#This Row],[Quarter Start Date]])</f>
        <v>2023</v>
      </c>
    </row>
    <row r="7" spans="1:6" x14ac:dyDescent="0.25">
      <c r="A7" s="5" t="s">
        <v>8</v>
      </c>
      <c r="B7" s="3">
        <v>12693619.5</v>
      </c>
      <c r="C7" s="3">
        <v>463971.8</v>
      </c>
      <c r="D7" s="6">
        <f t="shared" si="0"/>
        <v>3.6551576167853463E-2</v>
      </c>
      <c r="E7" s="21">
        <v>45200</v>
      </c>
      <c r="F7" s="26">
        <f>YEAR(tbl_AgriExports[[#This Row],[Quarter Start Date]])</f>
        <v>2023</v>
      </c>
    </row>
    <row r="8" spans="1:6" x14ac:dyDescent="0.25">
      <c r="A8" s="5" t="s">
        <v>9</v>
      </c>
      <c r="B8" s="3">
        <v>19176193.800000001</v>
      </c>
      <c r="C8" s="3">
        <v>1035023.7</v>
      </c>
      <c r="D8" s="6">
        <f t="shared" si="0"/>
        <v>5.3974407580298853E-2</v>
      </c>
      <c r="E8" s="22">
        <v>45292</v>
      </c>
      <c r="F8" s="27">
        <f>YEAR(tbl_AgriExports[[#This Row],[Quarter Start Date]])</f>
        <v>2024</v>
      </c>
    </row>
    <row r="9" spans="1:6" x14ac:dyDescent="0.25">
      <c r="A9" s="5" t="s">
        <v>10</v>
      </c>
      <c r="B9" s="3">
        <v>17714407.199999999</v>
      </c>
      <c r="C9" s="3">
        <v>973686.5</v>
      </c>
      <c r="D9" s="6">
        <f t="shared" si="0"/>
        <v>5.4965796428118691E-2</v>
      </c>
      <c r="E9" s="21">
        <v>45383</v>
      </c>
      <c r="F9" s="26">
        <f>YEAR(tbl_AgriExports[[#This Row],[Quarter Start Date]])</f>
        <v>2024</v>
      </c>
    </row>
    <row r="10" spans="1:6" x14ac:dyDescent="0.25">
      <c r="A10" s="5" t="s">
        <v>11</v>
      </c>
      <c r="B10" s="3">
        <v>20537168.800000001</v>
      </c>
      <c r="C10" s="3">
        <v>890717.1</v>
      </c>
      <c r="D10" s="6">
        <f t="shared" si="0"/>
        <v>4.337097818468532E-2</v>
      </c>
      <c r="E10" s="22">
        <v>45474</v>
      </c>
      <c r="F10" s="27">
        <f>YEAR(tbl_AgriExports[[#This Row],[Quarter Start Date]])</f>
        <v>2024</v>
      </c>
    </row>
    <row r="11" spans="1:6" x14ac:dyDescent="0.25">
      <c r="A11" s="5" t="s">
        <v>12</v>
      </c>
      <c r="B11" s="3">
        <v>20014329.100000001</v>
      </c>
      <c r="C11" s="3">
        <v>1540457.4</v>
      </c>
      <c r="D11" s="6">
        <f t="shared" si="0"/>
        <v>7.6967726087805749E-2</v>
      </c>
      <c r="E11" s="21">
        <v>45566</v>
      </c>
      <c r="F11" s="26">
        <f>YEAR(tbl_AgriExports[[#This Row],[Quarter Start Date]])</f>
        <v>2024</v>
      </c>
    </row>
    <row r="12" spans="1:6" x14ac:dyDescent="0.25">
      <c r="A12" s="5" t="s">
        <v>13</v>
      </c>
      <c r="B12" s="3">
        <v>20598480.800000001</v>
      </c>
      <c r="C12" s="3">
        <v>1704145.1</v>
      </c>
      <c r="D12" s="6">
        <f t="shared" si="0"/>
        <v>8.2731591545333771E-2</v>
      </c>
      <c r="E12" s="22">
        <v>45658</v>
      </c>
      <c r="F12" s="27">
        <f>YEAR(tbl_AgriExports[[#This Row],[Quarter Start Date]])</f>
        <v>2025</v>
      </c>
    </row>
    <row r="13" spans="1:6" x14ac:dyDescent="0.25">
      <c r="A13" s="5" t="s">
        <v>14</v>
      </c>
      <c r="B13" s="3">
        <v>22750744.199999999</v>
      </c>
      <c r="C13" s="3">
        <v>1256355.3</v>
      </c>
      <c r="D13" s="6">
        <f t="shared" si="0"/>
        <v>5.5222602344586168E-2</v>
      </c>
      <c r="E13" s="21">
        <v>45748</v>
      </c>
      <c r="F13" s="26">
        <f>YEAR(tbl_AgriExports[[#This Row],[Quarter Start Date]])</f>
        <v>2025</v>
      </c>
    </row>
    <row r="14" spans="1:6" x14ac:dyDescent="0.25">
      <c r="A14" s="5" t="s">
        <v>15</v>
      </c>
      <c r="B14" s="3">
        <v>22813567.899999999</v>
      </c>
      <c r="C14" s="3">
        <v>786615.9</v>
      </c>
      <c r="D14" s="6">
        <f t="shared" si="0"/>
        <v>3.4480178788693548E-2</v>
      </c>
      <c r="E14" s="22">
        <v>45839</v>
      </c>
      <c r="F14" s="27">
        <f>YEAR(tbl_AgriExports[[#This Row],[Quarter Start Date]])</f>
        <v>2025</v>
      </c>
    </row>
    <row r="15" spans="1:6" x14ac:dyDescent="0.25">
      <c r="A15" s="5" t="s">
        <v>16</v>
      </c>
      <c r="B15" s="3">
        <v>18963410</v>
      </c>
      <c r="C15" s="3">
        <v>1323064.8999999999</v>
      </c>
      <c r="D15" s="6">
        <f t="shared" si="0"/>
        <v>6.9769355827881158E-2</v>
      </c>
      <c r="E15" s="21">
        <v>45931</v>
      </c>
      <c r="F15" s="26">
        <f>YEAR(tbl_AgriExports[[#This Row],[Quarter Start Date]])</f>
        <v>2025</v>
      </c>
    </row>
    <row r="16" spans="1:6" x14ac:dyDescent="0.25">
      <c r="A16" s="10" t="s">
        <v>17</v>
      </c>
      <c r="B16" s="11">
        <v>21169266.800000001</v>
      </c>
      <c r="C16" s="11">
        <v>1172373.3999999999</v>
      </c>
      <c r="D16" s="12">
        <f>C16/B16</f>
        <v>5.5380916640910771E-2</v>
      </c>
      <c r="E16" s="23">
        <v>46023</v>
      </c>
      <c r="F16" s="27">
        <f>YEAR(tbl_AgriExports[[#This Row],[Quarter Start Date]])</f>
        <v>2026</v>
      </c>
    </row>
    <row r="17" spans="1:6" x14ac:dyDescent="0.25">
      <c r="A17" s="32"/>
      <c r="B17" s="32"/>
      <c r="C17" s="32"/>
      <c r="D17" s="32"/>
      <c r="E17" s="18"/>
      <c r="F17" s="18"/>
    </row>
    <row r="18" spans="1:6" x14ac:dyDescent="0.25">
      <c r="D18" s="33"/>
    </row>
    <row r="19" spans="1:6" ht="15.75" x14ac:dyDescent="0.25">
      <c r="A19" s="1" t="s">
        <v>18</v>
      </c>
    </row>
    <row r="20" spans="1:6" x14ac:dyDescent="0.25">
      <c r="A20" s="7" t="s">
        <v>19</v>
      </c>
      <c r="B20" s="9" t="s">
        <v>20</v>
      </c>
    </row>
    <row r="21" spans="1:6" x14ac:dyDescent="0.25">
      <c r="A21" s="5" t="s">
        <v>21</v>
      </c>
      <c r="B21" s="13">
        <v>596896</v>
      </c>
    </row>
    <row r="22" spans="1:6" x14ac:dyDescent="0.25">
      <c r="A22" s="5" t="s">
        <v>22</v>
      </c>
      <c r="B22" s="13">
        <v>153776.29999999999</v>
      </c>
    </row>
    <row r="23" spans="1:6" x14ac:dyDescent="0.25">
      <c r="A23" s="5" t="s">
        <v>23</v>
      </c>
      <c r="B23" s="13">
        <v>129273.4</v>
      </c>
    </row>
    <row r="24" spans="1:6" x14ac:dyDescent="0.25">
      <c r="A24" s="5" t="s">
        <v>24</v>
      </c>
      <c r="B24" s="13">
        <v>119763.4</v>
      </c>
    </row>
    <row r="25" spans="1:6" x14ac:dyDescent="0.25">
      <c r="A25" s="5" t="s">
        <v>25</v>
      </c>
      <c r="B25" s="13">
        <v>53198</v>
      </c>
    </row>
    <row r="26" spans="1:6" x14ac:dyDescent="0.25">
      <c r="A26" s="5" t="s">
        <v>26</v>
      </c>
      <c r="B26" s="13">
        <v>41688.699999999997</v>
      </c>
    </row>
    <row r="27" spans="1:6" x14ac:dyDescent="0.25">
      <c r="A27" s="10" t="s">
        <v>27</v>
      </c>
      <c r="B27" s="14">
        <v>16690.099999999999</v>
      </c>
    </row>
    <row r="28" spans="1:6" x14ac:dyDescent="0.25">
      <c r="A28" s="32"/>
      <c r="B28" s="32"/>
    </row>
    <row r="31" spans="1:6" ht="15.75" x14ac:dyDescent="0.25">
      <c r="A31" s="1" t="s">
        <v>28</v>
      </c>
    </row>
    <row r="32" spans="1:6" x14ac:dyDescent="0.25">
      <c r="A32" s="7" t="s">
        <v>29</v>
      </c>
      <c r="B32" s="8" t="s">
        <v>20</v>
      </c>
    </row>
    <row r="33" spans="1:3" x14ac:dyDescent="0.25">
      <c r="A33" s="5" t="s">
        <v>30</v>
      </c>
      <c r="B33" s="3">
        <v>11202350.199999999</v>
      </c>
    </row>
    <row r="34" spans="1:3" x14ac:dyDescent="0.25">
      <c r="A34" s="5" t="s">
        <v>31</v>
      </c>
      <c r="B34" s="3">
        <v>6780180.2999999998</v>
      </c>
    </row>
    <row r="35" spans="1:3" x14ac:dyDescent="0.25">
      <c r="A35" s="5" t="s">
        <v>32</v>
      </c>
      <c r="B35" s="3">
        <v>1172373.3999999999</v>
      </c>
    </row>
    <row r="36" spans="1:3" x14ac:dyDescent="0.25">
      <c r="A36" s="5" t="s">
        <v>33</v>
      </c>
      <c r="B36" s="3">
        <v>1533746.8</v>
      </c>
    </row>
    <row r="37" spans="1:3" x14ac:dyDescent="0.25">
      <c r="A37" s="5" t="s">
        <v>34</v>
      </c>
      <c r="B37" s="3">
        <v>302643</v>
      </c>
    </row>
    <row r="38" spans="1:3" x14ac:dyDescent="0.25">
      <c r="A38" s="10" t="s">
        <v>35</v>
      </c>
      <c r="B38" s="11">
        <v>102799.2</v>
      </c>
    </row>
    <row r="39" spans="1:3" x14ac:dyDescent="0.25">
      <c r="A39" s="32"/>
      <c r="B39" s="32"/>
      <c r="C39" s="32"/>
    </row>
    <row r="42" spans="1:3" ht="15.75" x14ac:dyDescent="0.25">
      <c r="A42" s="1" t="s">
        <v>36</v>
      </c>
    </row>
    <row r="43" spans="1:3" x14ac:dyDescent="0.25">
      <c r="A43" s="7" t="s">
        <v>37</v>
      </c>
      <c r="B43" s="9" t="s">
        <v>20</v>
      </c>
    </row>
    <row r="44" spans="1:3" x14ac:dyDescent="0.25">
      <c r="A44" s="5" t="s">
        <v>38</v>
      </c>
      <c r="B44" s="13">
        <v>529449.69999999995</v>
      </c>
    </row>
    <row r="45" spans="1:3" x14ac:dyDescent="0.25">
      <c r="A45" s="5" t="s">
        <v>39</v>
      </c>
      <c r="B45" s="13">
        <v>500342.7</v>
      </c>
    </row>
    <row r="46" spans="1:3" x14ac:dyDescent="0.25">
      <c r="A46" s="5" t="s">
        <v>40</v>
      </c>
      <c r="B46" s="13">
        <v>121199.4</v>
      </c>
    </row>
    <row r="47" spans="1:3" x14ac:dyDescent="0.25">
      <c r="A47" s="5" t="s">
        <v>41</v>
      </c>
      <c r="B47" s="13">
        <v>21121.200000000001</v>
      </c>
    </row>
    <row r="48" spans="1:3" x14ac:dyDescent="0.25">
      <c r="A48" s="10" t="s">
        <v>42</v>
      </c>
      <c r="B48" s="14">
        <v>260.5</v>
      </c>
    </row>
    <row r="49" spans="1:2" x14ac:dyDescent="0.25">
      <c r="A49" s="32"/>
      <c r="B49" s="32"/>
    </row>
    <row r="52" spans="1:2" ht="15.75" x14ac:dyDescent="0.25">
      <c r="A52" s="1"/>
    </row>
    <row r="53" spans="1:2" x14ac:dyDescent="0.25">
      <c r="A53" s="2"/>
      <c r="B53" s="3"/>
    </row>
    <row r="54" spans="1:2" x14ac:dyDescent="0.25">
      <c r="A54" s="2"/>
      <c r="B54" s="4"/>
    </row>
    <row r="55" spans="1:2" x14ac:dyDescent="0.25">
      <c r="A55" s="2"/>
      <c r="B55" s="4"/>
    </row>
    <row r="56" spans="1:2" x14ac:dyDescent="0.25">
      <c r="A56" s="2"/>
      <c r="B56" s="4"/>
    </row>
    <row r="57" spans="1:2" x14ac:dyDescent="0.25">
      <c r="A57" s="2"/>
      <c r="B57" s="3"/>
    </row>
  </sheetData>
  <mergeCells count="4">
    <mergeCell ref="A17:D17"/>
    <mergeCell ref="A28:B28"/>
    <mergeCell ref="A39:C39"/>
    <mergeCell ref="A49:B49"/>
  </mergeCells>
  <phoneticPr fontId="6" type="noConversion"/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17F48-B3FB-49A4-9B5B-90B8794367BA}">
  <sheetPr>
    <tabColor theme="4"/>
  </sheetPr>
  <dimension ref="A2:I31"/>
  <sheetViews>
    <sheetView workbookViewId="0">
      <selection activeCell="B23" sqref="B23"/>
    </sheetView>
  </sheetViews>
  <sheetFormatPr defaultRowHeight="15" x14ac:dyDescent="0.25"/>
  <cols>
    <col min="1" max="1" width="10.140625" bestFit="1" customWidth="1"/>
    <col min="2" max="2" width="31.140625" bestFit="1" customWidth="1"/>
    <col min="3" max="3" width="25" bestFit="1" customWidth="1"/>
    <col min="4" max="4" width="31.140625" bestFit="1" customWidth="1"/>
    <col min="5" max="5" width="17.5703125" bestFit="1" customWidth="1"/>
    <col min="6" max="6" width="31.140625" bestFit="1" customWidth="1"/>
    <col min="7" max="7" width="23.28515625" bestFit="1" customWidth="1"/>
    <col min="8" max="8" width="27.140625" bestFit="1" customWidth="1"/>
    <col min="9" max="9" width="23.28515625" bestFit="1" customWidth="1"/>
  </cols>
  <sheetData>
    <row r="2" spans="1:9" x14ac:dyDescent="0.25">
      <c r="A2" s="15" t="s">
        <v>1</v>
      </c>
      <c r="B2" t="s">
        <v>45</v>
      </c>
      <c r="C2" t="s">
        <v>47</v>
      </c>
      <c r="E2" s="15" t="s">
        <v>43</v>
      </c>
      <c r="F2" t="s">
        <v>45</v>
      </c>
      <c r="H2" s="15" t="s">
        <v>43</v>
      </c>
      <c r="I2" t="s">
        <v>48</v>
      </c>
    </row>
    <row r="3" spans="1:9" x14ac:dyDescent="0.25">
      <c r="A3" s="16" t="s">
        <v>5</v>
      </c>
      <c r="B3" s="19">
        <v>279639.7</v>
      </c>
      <c r="C3" s="19">
        <v>6487038.9000000004</v>
      </c>
      <c r="E3" s="16" t="s">
        <v>5</v>
      </c>
      <c r="F3" s="17">
        <v>279639.7</v>
      </c>
      <c r="H3" s="16" t="s">
        <v>21</v>
      </c>
      <c r="I3" s="17">
        <v>596896</v>
      </c>
    </row>
    <row r="4" spans="1:9" x14ac:dyDescent="0.25">
      <c r="A4" s="16" t="s">
        <v>9</v>
      </c>
      <c r="B4" s="19">
        <v>1035023.7</v>
      </c>
      <c r="C4" s="19">
        <v>19176193.800000001</v>
      </c>
      <c r="E4" s="16" t="s">
        <v>6</v>
      </c>
      <c r="F4" s="17">
        <v>280870.2</v>
      </c>
      <c r="H4" s="16" t="s">
        <v>22</v>
      </c>
      <c r="I4" s="17">
        <v>153776.29999999999</v>
      </c>
    </row>
    <row r="5" spans="1:9" x14ac:dyDescent="0.25">
      <c r="A5" s="16" t="s">
        <v>13</v>
      </c>
      <c r="B5" s="19">
        <v>1704145.1</v>
      </c>
      <c r="C5" s="19">
        <v>20598480.800000001</v>
      </c>
      <c r="E5" s="16" t="s">
        <v>7</v>
      </c>
      <c r="F5" s="17">
        <v>219989.7</v>
      </c>
      <c r="H5" s="16" t="s">
        <v>23</v>
      </c>
      <c r="I5" s="17">
        <v>129273.4</v>
      </c>
    </row>
    <row r="6" spans="1:9" x14ac:dyDescent="0.25">
      <c r="A6" s="16" t="s">
        <v>17</v>
      </c>
      <c r="B6" s="19">
        <v>1172373.3999999999</v>
      </c>
      <c r="C6" s="19">
        <v>21169266.800000001</v>
      </c>
      <c r="E6" s="16" t="s">
        <v>8</v>
      </c>
      <c r="F6" s="17">
        <v>463971.8</v>
      </c>
      <c r="H6" s="16" t="s">
        <v>24</v>
      </c>
      <c r="I6" s="17">
        <v>119763.4</v>
      </c>
    </row>
    <row r="7" spans="1:9" x14ac:dyDescent="0.25">
      <c r="A7" s="16" t="s">
        <v>6</v>
      </c>
      <c r="B7" s="19">
        <v>280870.2</v>
      </c>
      <c r="C7" s="19">
        <v>6435130.2000000002</v>
      </c>
      <c r="E7" s="16" t="s">
        <v>9</v>
      </c>
      <c r="F7" s="17">
        <v>1035023.7</v>
      </c>
      <c r="H7" s="16" t="s">
        <v>25</v>
      </c>
      <c r="I7" s="17">
        <v>53198</v>
      </c>
    </row>
    <row r="8" spans="1:9" x14ac:dyDescent="0.25">
      <c r="A8" s="16" t="s">
        <v>10</v>
      </c>
      <c r="B8" s="19">
        <v>973686.5</v>
      </c>
      <c r="C8" s="19">
        <v>17714407.199999999</v>
      </c>
      <c r="E8" s="16" t="s">
        <v>10</v>
      </c>
      <c r="F8" s="17">
        <v>973686.5</v>
      </c>
      <c r="H8" s="16" t="s">
        <v>26</v>
      </c>
      <c r="I8" s="17">
        <v>41688.699999999997</v>
      </c>
    </row>
    <row r="9" spans="1:9" x14ac:dyDescent="0.25">
      <c r="A9" s="16" t="s">
        <v>14</v>
      </c>
      <c r="B9" s="19">
        <v>1256355.3</v>
      </c>
      <c r="C9" s="19">
        <v>22750744.199999999</v>
      </c>
      <c r="E9" s="16" t="s">
        <v>11</v>
      </c>
      <c r="F9" s="17">
        <v>890717.1</v>
      </c>
      <c r="H9" s="16" t="s">
        <v>27</v>
      </c>
      <c r="I9" s="17">
        <v>16690.099999999999</v>
      </c>
    </row>
    <row r="10" spans="1:9" x14ac:dyDescent="0.25">
      <c r="A10" s="16" t="s">
        <v>7</v>
      </c>
      <c r="B10" s="19">
        <v>219989.7</v>
      </c>
      <c r="C10" s="19">
        <v>10346603.9</v>
      </c>
      <c r="E10" s="16" t="s">
        <v>12</v>
      </c>
      <c r="F10" s="17">
        <v>1540457.4</v>
      </c>
    </row>
    <row r="11" spans="1:9" x14ac:dyDescent="0.25">
      <c r="A11" s="16" t="s">
        <v>11</v>
      </c>
      <c r="B11" s="19">
        <v>890717.1</v>
      </c>
      <c r="C11" s="19">
        <v>20537168.800000001</v>
      </c>
      <c r="E11" s="16" t="s">
        <v>13</v>
      </c>
      <c r="F11" s="17">
        <v>1704145.1</v>
      </c>
    </row>
    <row r="12" spans="1:9" x14ac:dyDescent="0.25">
      <c r="A12" s="16" t="s">
        <v>15</v>
      </c>
      <c r="B12" s="19">
        <v>786615.9</v>
      </c>
      <c r="C12" s="19">
        <v>22813567.899999999</v>
      </c>
      <c r="E12" s="16" t="s">
        <v>14</v>
      </c>
      <c r="F12" s="17">
        <v>1256355.3</v>
      </c>
    </row>
    <row r="13" spans="1:9" x14ac:dyDescent="0.25">
      <c r="A13" s="16" t="s">
        <v>8</v>
      </c>
      <c r="B13" s="19">
        <v>463971.8</v>
      </c>
      <c r="C13" s="19">
        <v>12693619.5</v>
      </c>
      <c r="E13" s="16" t="s">
        <v>15</v>
      </c>
      <c r="F13" s="17">
        <v>786615.9</v>
      </c>
    </row>
    <row r="14" spans="1:9" x14ac:dyDescent="0.25">
      <c r="A14" s="16" t="s">
        <v>12</v>
      </c>
      <c r="B14" s="19">
        <v>1540457.4</v>
      </c>
      <c r="C14" s="19">
        <v>20014329.100000001</v>
      </c>
      <c r="E14" s="16" t="s">
        <v>16</v>
      </c>
      <c r="F14" s="17">
        <v>1323064.8999999999</v>
      </c>
    </row>
    <row r="15" spans="1:9" x14ac:dyDescent="0.25">
      <c r="A15" s="16" t="s">
        <v>16</v>
      </c>
      <c r="B15" s="19">
        <v>1323064.8999999999</v>
      </c>
      <c r="C15" s="19">
        <v>18963410</v>
      </c>
      <c r="E15" s="16" t="s">
        <v>17</v>
      </c>
      <c r="F15" s="17">
        <v>1172373.3999999999</v>
      </c>
    </row>
    <row r="16" spans="1:9" x14ac:dyDescent="0.25">
      <c r="E16" s="16" t="s">
        <v>44</v>
      </c>
      <c r="F16" s="17">
        <v>11926910.700000001</v>
      </c>
    </row>
    <row r="18" spans="1:6" x14ac:dyDescent="0.25">
      <c r="A18" s="15" t="s">
        <v>43</v>
      </c>
      <c r="B18" t="s">
        <v>45</v>
      </c>
      <c r="E18" s="15" t="s">
        <v>43</v>
      </c>
      <c r="F18" t="s">
        <v>48</v>
      </c>
    </row>
    <row r="19" spans="1:6" x14ac:dyDescent="0.25">
      <c r="A19" s="16" t="s">
        <v>5</v>
      </c>
      <c r="B19" s="17">
        <v>279639.7</v>
      </c>
      <c r="E19" s="16" t="s">
        <v>38</v>
      </c>
      <c r="F19" s="17">
        <v>529449.69999999995</v>
      </c>
    </row>
    <row r="20" spans="1:6" x14ac:dyDescent="0.25">
      <c r="A20" s="16" t="s">
        <v>6</v>
      </c>
      <c r="B20" s="17">
        <v>280870.2</v>
      </c>
      <c r="E20" s="16" t="s">
        <v>39</v>
      </c>
      <c r="F20" s="17">
        <v>500342.7</v>
      </c>
    </row>
    <row r="21" spans="1:6" x14ac:dyDescent="0.25">
      <c r="A21" s="16" t="s">
        <v>7</v>
      </c>
      <c r="B21" s="17">
        <v>219989.7</v>
      </c>
      <c r="E21" s="16" t="s">
        <v>40</v>
      </c>
      <c r="F21" s="17">
        <v>121199.4</v>
      </c>
    </row>
    <row r="22" spans="1:6" x14ac:dyDescent="0.25">
      <c r="A22" s="16" t="s">
        <v>8</v>
      </c>
      <c r="B22" s="17">
        <v>463971.8</v>
      </c>
      <c r="E22" s="16" t="s">
        <v>41</v>
      </c>
      <c r="F22" s="17">
        <v>21121.200000000001</v>
      </c>
    </row>
    <row r="23" spans="1:6" x14ac:dyDescent="0.25">
      <c r="A23" s="16" t="s">
        <v>9</v>
      </c>
      <c r="B23" s="17">
        <v>1035023.7</v>
      </c>
      <c r="E23" s="16" t="s">
        <v>42</v>
      </c>
      <c r="F23" s="17">
        <v>260.5</v>
      </c>
    </row>
    <row r="24" spans="1:6" x14ac:dyDescent="0.25">
      <c r="A24" s="16" t="s">
        <v>10</v>
      </c>
      <c r="B24" s="17">
        <v>973686.5</v>
      </c>
    </row>
    <row r="25" spans="1:6" x14ac:dyDescent="0.25">
      <c r="A25" s="16" t="s">
        <v>11</v>
      </c>
      <c r="B25" s="17">
        <v>890717.1</v>
      </c>
      <c r="E25" s="15" t="s">
        <v>43</v>
      </c>
      <c r="F25" t="s">
        <v>48</v>
      </c>
    </row>
    <row r="26" spans="1:6" x14ac:dyDescent="0.25">
      <c r="A26" s="16" t="s">
        <v>12</v>
      </c>
      <c r="B26" s="17">
        <v>1540457.4</v>
      </c>
      <c r="E26" s="16" t="s">
        <v>32</v>
      </c>
      <c r="F26" s="17">
        <v>1172373.3999999999</v>
      </c>
    </row>
    <row r="27" spans="1:6" x14ac:dyDescent="0.25">
      <c r="A27" s="16" t="s">
        <v>13</v>
      </c>
      <c r="B27" s="17">
        <v>1704145.1</v>
      </c>
      <c r="E27" s="16" t="s">
        <v>30</v>
      </c>
      <c r="F27" s="17">
        <v>11202350.199999999</v>
      </c>
    </row>
    <row r="28" spans="1:6" x14ac:dyDescent="0.25">
      <c r="A28" s="16" t="s">
        <v>14</v>
      </c>
      <c r="B28" s="17">
        <v>1256355.3</v>
      </c>
      <c r="E28" s="16" t="s">
        <v>49</v>
      </c>
      <c r="F28" s="17">
        <v>405442.2</v>
      </c>
    </row>
    <row r="29" spans="1:6" x14ac:dyDescent="0.25">
      <c r="A29" s="16" t="s">
        <v>15</v>
      </c>
      <c r="B29" s="17">
        <v>786615.9</v>
      </c>
      <c r="E29" s="16" t="s">
        <v>31</v>
      </c>
      <c r="F29" s="17">
        <v>6780180.2999999998</v>
      </c>
    </row>
    <row r="30" spans="1:6" x14ac:dyDescent="0.25">
      <c r="A30" s="16" t="s">
        <v>16</v>
      </c>
      <c r="B30" s="17">
        <v>1323064.8999999999</v>
      </c>
      <c r="E30" s="16" t="s">
        <v>33</v>
      </c>
      <c r="F30" s="17">
        <v>1533746.8</v>
      </c>
    </row>
    <row r="31" spans="1:6" x14ac:dyDescent="0.25">
      <c r="A31" s="16" t="s">
        <v>17</v>
      </c>
      <c r="B31" s="17">
        <v>1172373.3999999999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C5997-7BA7-443E-B3BA-78704CAA09B1}">
  <sheetPr>
    <tabColor rgb="FF008751"/>
  </sheetPr>
  <dimension ref="AA6:AD16"/>
  <sheetViews>
    <sheetView showGridLines="0" showRowColHeaders="0" tabSelected="1" zoomScale="90" zoomScaleNormal="90" workbookViewId="0">
      <selection activeCell="Z24" sqref="Z24"/>
    </sheetView>
  </sheetViews>
  <sheetFormatPr defaultRowHeight="15" x14ac:dyDescent="0.25"/>
  <cols>
    <col min="9" max="9" width="2.140625" customWidth="1"/>
    <col min="28" max="28" width="14.5703125" bestFit="1" customWidth="1"/>
  </cols>
  <sheetData>
    <row r="6" spans="27:30" ht="21" x14ac:dyDescent="0.25">
      <c r="AD6" s="30"/>
    </row>
    <row r="10" spans="27:30" ht="21" x14ac:dyDescent="0.25">
      <c r="AC10" s="28"/>
    </row>
    <row r="11" spans="27:30" ht="21" x14ac:dyDescent="0.25">
      <c r="AC11" s="28"/>
    </row>
    <row r="12" spans="27:30" ht="21" x14ac:dyDescent="0.25">
      <c r="AC12" s="28"/>
    </row>
    <row r="13" spans="27:30" ht="21" x14ac:dyDescent="0.35">
      <c r="AC13" s="29"/>
    </row>
    <row r="15" spans="27:30" ht="21" x14ac:dyDescent="0.25">
      <c r="AA15" s="30"/>
    </row>
    <row r="16" spans="27:30" x14ac:dyDescent="0.25">
      <c r="AB16" s="3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Raw Data</vt:lpstr>
      <vt:lpstr>Model</vt:lpstr>
      <vt:lpstr>Dashboard</vt:lpstr>
      <vt:lpstr>AgriExports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Ascend Odufuwa</dc:creator>
  <cp:lastModifiedBy>Ascend Odufuwa</cp:lastModifiedBy>
  <dcterms:created xsi:type="dcterms:W3CDTF">2026-07-20T19:09:49Z</dcterms:created>
  <dcterms:modified xsi:type="dcterms:W3CDTF">2026-07-29T07:23:37Z</dcterms:modified>
</cp:coreProperties>
</file>